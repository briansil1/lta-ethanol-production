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faro90mx-my.sharepoint.com/personal/ssantos_faro90_com/Documents/Escritorio/Archivos faltantes emisioens y GHG/"/>
    </mc:Choice>
  </mc:AlternateContent>
  <xr:revisionPtr revIDLastSave="183" documentId="13_ncr:1_{91FA5143-3460-8A4E-8CC5-01C9DC92B2A6}" xr6:coauthVersionLast="47" xr6:coauthVersionMax="47" xr10:uidLastSave="{8F0CC15A-D97B-4DBE-A8A9-0DF0F2CB624A}"/>
  <bookViews>
    <workbookView xWindow="-108" yWindow="-108" windowWidth="23256" windowHeight="12456" tabRatio="853" xr2:uid="{AD60D5F5-4EC3-4F16-A51A-8F435208B142}"/>
  </bookViews>
  <sheets>
    <sheet name="Contenido" sheetId="7" r:id="rId1"/>
    <sheet name="Argentina" sheetId="4" r:id="rId2"/>
    <sheet name="Bolivia" sheetId="5" r:id="rId3"/>
    <sheet name="Chile" sheetId="6" r:id="rId4"/>
    <sheet name="Colombia" sheetId="9" r:id="rId5"/>
    <sheet name="Costa Rica" sheetId="10" r:id="rId6"/>
    <sheet name="República Dominicana" sheetId="11" r:id="rId7"/>
    <sheet name="Ecuador" sheetId="12" r:id="rId8"/>
    <sheet name="El Salvador" sheetId="13" r:id="rId9"/>
    <sheet name="Guatemala" sheetId="14" r:id="rId10"/>
    <sheet name="Honduras" sheetId="15" r:id="rId11"/>
    <sheet name="Jamaica" sheetId="16" r:id="rId12"/>
    <sheet name="México" sheetId="17" r:id="rId13"/>
    <sheet name="Nicaragua" sheetId="18" r:id="rId14"/>
    <sheet name="Panamá" sheetId="19" r:id="rId15"/>
    <sheet name="Perú" sheetId="20" r:id="rId16"/>
    <sheet name="Uruguay" sheetId="21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7" l="1"/>
  <c r="F20" i="17"/>
  <c r="E20" i="17"/>
  <c r="D20" i="17"/>
  <c r="C20" i="17"/>
  <c r="B20" i="17"/>
  <c r="G20" i="16" l="1"/>
  <c r="F20" i="16"/>
  <c r="E20" i="16"/>
  <c r="D20" i="16"/>
  <c r="C20" i="16"/>
  <c r="B20" i="16"/>
  <c r="F20" i="10" l="1"/>
  <c r="D20" i="10"/>
  <c r="F20" i="9"/>
  <c r="D20" i="9"/>
  <c r="B20" i="9"/>
  <c r="F20" i="6"/>
  <c r="D20" i="6"/>
  <c r="B20" i="6"/>
  <c r="F20" i="5"/>
  <c r="B20" i="5"/>
  <c r="G20" i="10"/>
  <c r="E20" i="10"/>
  <c r="C20" i="10"/>
  <c r="B20" i="10"/>
  <c r="G20" i="9"/>
  <c r="E20" i="9"/>
  <c r="C20" i="9"/>
  <c r="G20" i="6"/>
  <c r="E20" i="6"/>
  <c r="C20" i="6"/>
  <c r="G20" i="5"/>
  <c r="E20" i="5"/>
  <c r="D20" i="5"/>
  <c r="C20" i="5"/>
  <c r="J20" i="17" l="1"/>
  <c r="I20" i="17"/>
  <c r="H20" i="17"/>
  <c r="J19" i="17"/>
  <c r="I19" i="17"/>
  <c r="H19" i="17"/>
  <c r="J18" i="17"/>
  <c r="I18" i="17"/>
  <c r="H18" i="17"/>
  <c r="J17" i="17"/>
  <c r="I17" i="17"/>
  <c r="H17" i="17"/>
  <c r="J16" i="17"/>
  <c r="I16" i="17"/>
  <c r="H16" i="17"/>
  <c r="J15" i="17"/>
  <c r="I15" i="17"/>
  <c r="H15" i="17"/>
  <c r="J14" i="17"/>
  <c r="I14" i="17"/>
  <c r="H14" i="17"/>
  <c r="J13" i="17"/>
  <c r="I13" i="17"/>
  <c r="H13" i="17"/>
  <c r="J12" i="17"/>
  <c r="I12" i="17"/>
  <c r="H12" i="17"/>
  <c r="J11" i="17"/>
  <c r="I11" i="17"/>
  <c r="H11" i="17"/>
  <c r="J10" i="17"/>
  <c r="I10" i="17"/>
  <c r="H10" i="17"/>
  <c r="J9" i="17"/>
  <c r="I9" i="17"/>
  <c r="H9" i="17"/>
  <c r="J8" i="17"/>
  <c r="I8" i="17"/>
  <c r="H8" i="17"/>
  <c r="J7" i="17"/>
  <c r="I7" i="17"/>
  <c r="H7" i="17"/>
  <c r="J6" i="17"/>
  <c r="I6" i="17"/>
  <c r="H6" i="17"/>
  <c r="J5" i="17"/>
  <c r="I5" i="17"/>
  <c r="H5" i="17"/>
  <c r="B20" i="20" l="1"/>
  <c r="J5" i="20"/>
  <c r="I9" i="20"/>
  <c r="H10" i="20"/>
  <c r="I12" i="20"/>
  <c r="I13" i="20"/>
  <c r="H14" i="20"/>
  <c r="J18" i="20"/>
  <c r="J17" i="20"/>
  <c r="H16" i="20"/>
  <c r="I15" i="20"/>
  <c r="J9" i="20"/>
  <c r="I7" i="20"/>
  <c r="H6" i="20"/>
  <c r="J19" i="21"/>
  <c r="I19" i="21"/>
  <c r="H19" i="21"/>
  <c r="J18" i="21"/>
  <c r="I18" i="21"/>
  <c r="H18" i="21"/>
  <c r="J17" i="21"/>
  <c r="I17" i="21"/>
  <c r="H17" i="21"/>
  <c r="J16" i="21"/>
  <c r="I16" i="21"/>
  <c r="H16" i="21"/>
  <c r="J15" i="21"/>
  <c r="I15" i="21"/>
  <c r="H15" i="21"/>
  <c r="J14" i="21"/>
  <c r="I14" i="21"/>
  <c r="H14" i="21"/>
  <c r="J13" i="21"/>
  <c r="I13" i="21"/>
  <c r="H13" i="21"/>
  <c r="J12" i="21"/>
  <c r="I12" i="21"/>
  <c r="H12" i="21"/>
  <c r="J11" i="21"/>
  <c r="I11" i="21"/>
  <c r="H11" i="21"/>
  <c r="J10" i="21"/>
  <c r="I10" i="21"/>
  <c r="H10" i="21"/>
  <c r="J9" i="21"/>
  <c r="I9" i="21"/>
  <c r="H9" i="21"/>
  <c r="J8" i="21"/>
  <c r="I8" i="21"/>
  <c r="H8" i="21"/>
  <c r="J7" i="21"/>
  <c r="I7" i="21"/>
  <c r="H7" i="21"/>
  <c r="J6" i="21"/>
  <c r="I6" i="21"/>
  <c r="H6" i="21"/>
  <c r="J5" i="21"/>
  <c r="I5" i="21"/>
  <c r="H5" i="21"/>
  <c r="J19" i="20"/>
  <c r="I19" i="20"/>
  <c r="H19" i="20"/>
  <c r="J16" i="20"/>
  <c r="I16" i="20"/>
  <c r="H13" i="20"/>
  <c r="J12" i="20"/>
  <c r="J11" i="20"/>
  <c r="I11" i="20"/>
  <c r="H11" i="20"/>
  <c r="J8" i="20"/>
  <c r="I8" i="20"/>
  <c r="H8" i="20"/>
  <c r="J7" i="20"/>
  <c r="H7" i="20"/>
  <c r="J6" i="20"/>
  <c r="J19" i="19"/>
  <c r="I19" i="19"/>
  <c r="H19" i="19"/>
  <c r="J18" i="19"/>
  <c r="I18" i="19"/>
  <c r="H18" i="19"/>
  <c r="J17" i="19"/>
  <c r="I17" i="19"/>
  <c r="H17" i="19"/>
  <c r="J16" i="19"/>
  <c r="I16" i="19"/>
  <c r="H16" i="19"/>
  <c r="J15" i="19"/>
  <c r="I15" i="19"/>
  <c r="H15" i="19"/>
  <c r="J14" i="19"/>
  <c r="I14" i="19"/>
  <c r="H14" i="19"/>
  <c r="J13" i="19"/>
  <c r="I13" i="19"/>
  <c r="H13" i="19"/>
  <c r="J12" i="19"/>
  <c r="I12" i="19"/>
  <c r="H12" i="19"/>
  <c r="J11" i="19"/>
  <c r="I11" i="19"/>
  <c r="H11" i="19"/>
  <c r="J10" i="19"/>
  <c r="I10" i="19"/>
  <c r="H10" i="19"/>
  <c r="J9" i="19"/>
  <c r="I9" i="19"/>
  <c r="H9" i="19"/>
  <c r="J8" i="19"/>
  <c r="I8" i="19"/>
  <c r="H8" i="19"/>
  <c r="J7" i="19"/>
  <c r="I7" i="19"/>
  <c r="H7" i="19"/>
  <c r="J6" i="19"/>
  <c r="I6" i="19"/>
  <c r="H6" i="19"/>
  <c r="J5" i="19"/>
  <c r="I5" i="19"/>
  <c r="H5" i="19"/>
  <c r="J19" i="18"/>
  <c r="I19" i="18"/>
  <c r="H19" i="18"/>
  <c r="J18" i="18"/>
  <c r="I18" i="18"/>
  <c r="H18" i="18"/>
  <c r="J17" i="18"/>
  <c r="I17" i="18"/>
  <c r="H17" i="18"/>
  <c r="J16" i="18"/>
  <c r="I16" i="18"/>
  <c r="H16" i="18"/>
  <c r="J15" i="18"/>
  <c r="I15" i="18"/>
  <c r="H15" i="18"/>
  <c r="J14" i="18"/>
  <c r="I14" i="18"/>
  <c r="H14" i="18"/>
  <c r="J13" i="18"/>
  <c r="I13" i="18"/>
  <c r="H13" i="18"/>
  <c r="J12" i="18"/>
  <c r="I12" i="18"/>
  <c r="H12" i="18"/>
  <c r="J11" i="18"/>
  <c r="I11" i="18"/>
  <c r="H11" i="18"/>
  <c r="J10" i="18"/>
  <c r="I10" i="18"/>
  <c r="H10" i="18"/>
  <c r="J9" i="18"/>
  <c r="I9" i="18"/>
  <c r="H9" i="18"/>
  <c r="J8" i="18"/>
  <c r="I8" i="18"/>
  <c r="H8" i="18"/>
  <c r="J7" i="18"/>
  <c r="I7" i="18"/>
  <c r="H7" i="18"/>
  <c r="J6" i="18"/>
  <c r="I6" i="18"/>
  <c r="H6" i="18"/>
  <c r="J5" i="18"/>
  <c r="I5" i="18"/>
  <c r="H5" i="18"/>
  <c r="J20" i="16"/>
  <c r="I20" i="16"/>
  <c r="H20" i="16"/>
  <c r="J19" i="16"/>
  <c r="I19" i="16"/>
  <c r="H19" i="16"/>
  <c r="J18" i="16"/>
  <c r="I18" i="16"/>
  <c r="H18" i="16"/>
  <c r="J17" i="16"/>
  <c r="I17" i="16"/>
  <c r="H17" i="16"/>
  <c r="J16" i="16"/>
  <c r="I16" i="16"/>
  <c r="H16" i="16"/>
  <c r="J15" i="16"/>
  <c r="I15" i="16"/>
  <c r="H15" i="16"/>
  <c r="J14" i="16"/>
  <c r="I14" i="16"/>
  <c r="H14" i="16"/>
  <c r="J13" i="16"/>
  <c r="I13" i="16"/>
  <c r="H13" i="16"/>
  <c r="J12" i="16"/>
  <c r="I12" i="16"/>
  <c r="H12" i="16"/>
  <c r="J11" i="16"/>
  <c r="I11" i="16"/>
  <c r="H11" i="16"/>
  <c r="J10" i="16"/>
  <c r="I10" i="16"/>
  <c r="H10" i="16"/>
  <c r="J9" i="16"/>
  <c r="I9" i="16"/>
  <c r="H9" i="16"/>
  <c r="J8" i="16"/>
  <c r="I8" i="16"/>
  <c r="H8" i="16"/>
  <c r="J7" i="16"/>
  <c r="I7" i="16"/>
  <c r="H7" i="16"/>
  <c r="J6" i="16"/>
  <c r="I6" i="16"/>
  <c r="H6" i="16"/>
  <c r="J5" i="16"/>
  <c r="I5" i="16"/>
  <c r="H5" i="16"/>
  <c r="J19" i="15"/>
  <c r="I19" i="15"/>
  <c r="H19" i="15"/>
  <c r="J18" i="15"/>
  <c r="I18" i="15"/>
  <c r="H18" i="15"/>
  <c r="J17" i="15"/>
  <c r="I17" i="15"/>
  <c r="H17" i="15"/>
  <c r="J16" i="15"/>
  <c r="I16" i="15"/>
  <c r="H16" i="15"/>
  <c r="J15" i="15"/>
  <c r="I15" i="15"/>
  <c r="H15" i="15"/>
  <c r="J14" i="15"/>
  <c r="I14" i="15"/>
  <c r="H14" i="15"/>
  <c r="J13" i="15"/>
  <c r="I13" i="15"/>
  <c r="H13" i="15"/>
  <c r="J12" i="15"/>
  <c r="I12" i="15"/>
  <c r="H12" i="15"/>
  <c r="J11" i="15"/>
  <c r="I11" i="15"/>
  <c r="H11" i="15"/>
  <c r="J10" i="15"/>
  <c r="I10" i="15"/>
  <c r="H10" i="15"/>
  <c r="J9" i="15"/>
  <c r="I9" i="15"/>
  <c r="H9" i="15"/>
  <c r="J8" i="15"/>
  <c r="I8" i="15"/>
  <c r="H8" i="15"/>
  <c r="J7" i="15"/>
  <c r="I7" i="15"/>
  <c r="H7" i="15"/>
  <c r="J6" i="15"/>
  <c r="I6" i="15"/>
  <c r="H6" i="15"/>
  <c r="J5" i="15"/>
  <c r="I5" i="15"/>
  <c r="H5" i="15"/>
  <c r="J19" i="14"/>
  <c r="I19" i="14"/>
  <c r="H19" i="14"/>
  <c r="J18" i="14"/>
  <c r="I18" i="14"/>
  <c r="H18" i="14"/>
  <c r="J17" i="14"/>
  <c r="I17" i="14"/>
  <c r="H17" i="14"/>
  <c r="J16" i="14"/>
  <c r="I16" i="14"/>
  <c r="H16" i="14"/>
  <c r="J15" i="14"/>
  <c r="I15" i="14"/>
  <c r="H15" i="14"/>
  <c r="J14" i="14"/>
  <c r="I14" i="14"/>
  <c r="H14" i="14"/>
  <c r="J13" i="14"/>
  <c r="I13" i="14"/>
  <c r="H13" i="14"/>
  <c r="J12" i="14"/>
  <c r="I12" i="14"/>
  <c r="H12" i="14"/>
  <c r="J11" i="14"/>
  <c r="I11" i="14"/>
  <c r="H11" i="14"/>
  <c r="J10" i="14"/>
  <c r="I10" i="14"/>
  <c r="H10" i="14"/>
  <c r="J9" i="14"/>
  <c r="I9" i="14"/>
  <c r="H9" i="14"/>
  <c r="J8" i="14"/>
  <c r="I8" i="14"/>
  <c r="H8" i="14"/>
  <c r="J7" i="14"/>
  <c r="I7" i="14"/>
  <c r="H7" i="14"/>
  <c r="J6" i="14"/>
  <c r="I6" i="14"/>
  <c r="H6" i="14"/>
  <c r="J5" i="14"/>
  <c r="I5" i="14"/>
  <c r="H5" i="14"/>
  <c r="J19" i="13"/>
  <c r="I19" i="13"/>
  <c r="H19" i="13"/>
  <c r="J18" i="13"/>
  <c r="I18" i="13"/>
  <c r="H18" i="13"/>
  <c r="J17" i="13"/>
  <c r="I17" i="13"/>
  <c r="H17" i="13"/>
  <c r="J16" i="13"/>
  <c r="I16" i="13"/>
  <c r="H16" i="13"/>
  <c r="J15" i="13"/>
  <c r="I15" i="13"/>
  <c r="H15" i="13"/>
  <c r="J14" i="13"/>
  <c r="I14" i="13"/>
  <c r="H14" i="13"/>
  <c r="J13" i="13"/>
  <c r="I13" i="13"/>
  <c r="H13" i="13"/>
  <c r="J12" i="13"/>
  <c r="I12" i="13"/>
  <c r="H12" i="13"/>
  <c r="J11" i="13"/>
  <c r="I11" i="13"/>
  <c r="H11" i="13"/>
  <c r="J10" i="13"/>
  <c r="I10" i="13"/>
  <c r="H10" i="13"/>
  <c r="J9" i="13"/>
  <c r="I9" i="13"/>
  <c r="H9" i="13"/>
  <c r="J8" i="13"/>
  <c r="I8" i="13"/>
  <c r="H8" i="13"/>
  <c r="J7" i="13"/>
  <c r="I7" i="13"/>
  <c r="H7" i="13"/>
  <c r="J6" i="13"/>
  <c r="I6" i="13"/>
  <c r="H6" i="13"/>
  <c r="J5" i="13"/>
  <c r="I5" i="13"/>
  <c r="H5" i="13"/>
  <c r="J19" i="12"/>
  <c r="I19" i="12"/>
  <c r="H19" i="12"/>
  <c r="J18" i="12"/>
  <c r="I18" i="12"/>
  <c r="H18" i="12"/>
  <c r="J17" i="12"/>
  <c r="I17" i="12"/>
  <c r="H17" i="12"/>
  <c r="J16" i="12"/>
  <c r="I16" i="12"/>
  <c r="H16" i="12"/>
  <c r="J15" i="12"/>
  <c r="I15" i="12"/>
  <c r="H15" i="12"/>
  <c r="J14" i="12"/>
  <c r="I14" i="12"/>
  <c r="H14" i="12"/>
  <c r="J13" i="12"/>
  <c r="I13" i="12"/>
  <c r="H13" i="12"/>
  <c r="J12" i="12"/>
  <c r="I12" i="12"/>
  <c r="H12" i="12"/>
  <c r="J11" i="12"/>
  <c r="I11" i="12"/>
  <c r="H11" i="12"/>
  <c r="J10" i="12"/>
  <c r="I10" i="12"/>
  <c r="H10" i="12"/>
  <c r="J9" i="12"/>
  <c r="I9" i="12"/>
  <c r="H9" i="12"/>
  <c r="J8" i="12"/>
  <c r="I8" i="12"/>
  <c r="H8" i="12"/>
  <c r="J7" i="12"/>
  <c r="I7" i="12"/>
  <c r="H7" i="12"/>
  <c r="J6" i="12"/>
  <c r="I6" i="12"/>
  <c r="H6" i="12"/>
  <c r="J5" i="12"/>
  <c r="I5" i="12"/>
  <c r="H5" i="12"/>
  <c r="J19" i="11"/>
  <c r="I19" i="11"/>
  <c r="H19" i="11"/>
  <c r="J18" i="11"/>
  <c r="I18" i="11"/>
  <c r="H18" i="11"/>
  <c r="J17" i="11"/>
  <c r="I17" i="11"/>
  <c r="H17" i="11"/>
  <c r="J16" i="11"/>
  <c r="I16" i="11"/>
  <c r="H16" i="11"/>
  <c r="J15" i="11"/>
  <c r="I15" i="11"/>
  <c r="H15" i="11"/>
  <c r="J14" i="11"/>
  <c r="I14" i="11"/>
  <c r="H14" i="11"/>
  <c r="J13" i="11"/>
  <c r="I13" i="11"/>
  <c r="H13" i="11"/>
  <c r="J12" i="11"/>
  <c r="I12" i="11"/>
  <c r="H12" i="11"/>
  <c r="J11" i="11"/>
  <c r="I11" i="11"/>
  <c r="H11" i="11"/>
  <c r="J10" i="11"/>
  <c r="I10" i="11"/>
  <c r="H10" i="11"/>
  <c r="J9" i="11"/>
  <c r="I9" i="11"/>
  <c r="H9" i="11"/>
  <c r="J8" i="11"/>
  <c r="I8" i="11"/>
  <c r="H8" i="11"/>
  <c r="J7" i="11"/>
  <c r="I7" i="11"/>
  <c r="H7" i="11"/>
  <c r="J6" i="11"/>
  <c r="I6" i="11"/>
  <c r="H6" i="11"/>
  <c r="J5" i="11"/>
  <c r="I5" i="11"/>
  <c r="H5" i="11"/>
  <c r="J19" i="10"/>
  <c r="I19" i="10"/>
  <c r="H19" i="10"/>
  <c r="J18" i="10"/>
  <c r="I18" i="10"/>
  <c r="H18" i="10"/>
  <c r="J17" i="10"/>
  <c r="I17" i="10"/>
  <c r="H17" i="10"/>
  <c r="J16" i="10"/>
  <c r="I16" i="10"/>
  <c r="H16" i="10"/>
  <c r="J15" i="10"/>
  <c r="I15" i="10"/>
  <c r="H15" i="10"/>
  <c r="J14" i="10"/>
  <c r="I14" i="10"/>
  <c r="H14" i="10"/>
  <c r="J13" i="10"/>
  <c r="I13" i="10"/>
  <c r="H13" i="10"/>
  <c r="J12" i="10"/>
  <c r="I12" i="10"/>
  <c r="H12" i="10"/>
  <c r="J11" i="10"/>
  <c r="I11" i="10"/>
  <c r="H11" i="10"/>
  <c r="J10" i="10"/>
  <c r="I10" i="10"/>
  <c r="H10" i="10"/>
  <c r="J9" i="10"/>
  <c r="I9" i="10"/>
  <c r="H9" i="10"/>
  <c r="J8" i="10"/>
  <c r="I8" i="10"/>
  <c r="H8" i="10"/>
  <c r="J7" i="10"/>
  <c r="I7" i="10"/>
  <c r="H7" i="10"/>
  <c r="J6" i="10"/>
  <c r="I6" i="10"/>
  <c r="H6" i="10"/>
  <c r="J5" i="10"/>
  <c r="I5" i="10"/>
  <c r="H5" i="10"/>
  <c r="J19" i="9"/>
  <c r="I19" i="9"/>
  <c r="H19" i="9"/>
  <c r="J18" i="9"/>
  <c r="I18" i="9"/>
  <c r="H18" i="9"/>
  <c r="J17" i="9"/>
  <c r="I17" i="9"/>
  <c r="H17" i="9"/>
  <c r="J16" i="9"/>
  <c r="I16" i="9"/>
  <c r="H16" i="9"/>
  <c r="J15" i="9"/>
  <c r="I15" i="9"/>
  <c r="H15" i="9"/>
  <c r="J14" i="9"/>
  <c r="I14" i="9"/>
  <c r="H14" i="9"/>
  <c r="J13" i="9"/>
  <c r="I13" i="9"/>
  <c r="H13" i="9"/>
  <c r="J12" i="9"/>
  <c r="I12" i="9"/>
  <c r="H12" i="9"/>
  <c r="J11" i="9"/>
  <c r="I11" i="9"/>
  <c r="H11" i="9"/>
  <c r="J10" i="9"/>
  <c r="I10" i="9"/>
  <c r="H10" i="9"/>
  <c r="J9" i="9"/>
  <c r="I9" i="9"/>
  <c r="H9" i="9"/>
  <c r="J8" i="9"/>
  <c r="I8" i="9"/>
  <c r="H8" i="9"/>
  <c r="J7" i="9"/>
  <c r="I7" i="9"/>
  <c r="H7" i="9"/>
  <c r="J6" i="9"/>
  <c r="I6" i="9"/>
  <c r="H6" i="9"/>
  <c r="J5" i="9"/>
  <c r="I5" i="9"/>
  <c r="H5" i="9"/>
  <c r="J20" i="6"/>
  <c r="I20" i="6"/>
  <c r="H20" i="6"/>
  <c r="J19" i="6"/>
  <c r="I19" i="6"/>
  <c r="H19" i="6"/>
  <c r="J18" i="6"/>
  <c r="I18" i="6"/>
  <c r="H18" i="6"/>
  <c r="J17" i="6"/>
  <c r="I17" i="6"/>
  <c r="H17" i="6"/>
  <c r="J16" i="6"/>
  <c r="I16" i="6"/>
  <c r="H16" i="6"/>
  <c r="J15" i="6"/>
  <c r="I15" i="6"/>
  <c r="H15" i="6"/>
  <c r="J14" i="6"/>
  <c r="I14" i="6"/>
  <c r="H14" i="6"/>
  <c r="J13" i="6"/>
  <c r="I13" i="6"/>
  <c r="H13" i="6"/>
  <c r="J12" i="6"/>
  <c r="I12" i="6"/>
  <c r="H12" i="6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J5" i="6"/>
  <c r="I5" i="6"/>
  <c r="H5" i="6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J14" i="5"/>
  <c r="I14" i="5"/>
  <c r="H14" i="5"/>
  <c r="J13" i="5"/>
  <c r="I13" i="5"/>
  <c r="H13" i="5"/>
  <c r="J12" i="5"/>
  <c r="I12" i="5"/>
  <c r="H12" i="5"/>
  <c r="J11" i="5"/>
  <c r="I11" i="5"/>
  <c r="H11" i="5"/>
  <c r="J10" i="5"/>
  <c r="I10" i="5"/>
  <c r="H10" i="5"/>
  <c r="J9" i="5"/>
  <c r="I9" i="5"/>
  <c r="H9" i="5"/>
  <c r="J8" i="5"/>
  <c r="I8" i="5"/>
  <c r="H8" i="5"/>
  <c r="J7" i="5"/>
  <c r="I7" i="5"/>
  <c r="H7" i="5"/>
  <c r="J6" i="5"/>
  <c r="I6" i="5"/>
  <c r="H6" i="5"/>
  <c r="J5" i="5"/>
  <c r="I5" i="5"/>
  <c r="H5" i="5"/>
  <c r="J19" i="4"/>
  <c r="I19" i="4"/>
  <c r="H19" i="4"/>
  <c r="J18" i="4"/>
  <c r="I18" i="4"/>
  <c r="H18" i="4"/>
  <c r="J17" i="4"/>
  <c r="I17" i="4"/>
  <c r="H17" i="4"/>
  <c r="J16" i="4"/>
  <c r="I16" i="4"/>
  <c r="H16" i="4"/>
  <c r="J15" i="4"/>
  <c r="I15" i="4"/>
  <c r="H15" i="4"/>
  <c r="J14" i="4"/>
  <c r="I14" i="4"/>
  <c r="H14" i="4"/>
  <c r="J13" i="4"/>
  <c r="I13" i="4"/>
  <c r="H13" i="4"/>
  <c r="J12" i="4"/>
  <c r="I12" i="4"/>
  <c r="H12" i="4"/>
  <c r="J11" i="4"/>
  <c r="I11" i="4"/>
  <c r="H11" i="4"/>
  <c r="J10" i="4"/>
  <c r="I10" i="4"/>
  <c r="H10" i="4"/>
  <c r="J9" i="4"/>
  <c r="I9" i="4"/>
  <c r="H9" i="4"/>
  <c r="J8" i="4"/>
  <c r="I8" i="4"/>
  <c r="H8" i="4"/>
  <c r="J7" i="4"/>
  <c r="I7" i="4"/>
  <c r="H7" i="4"/>
  <c r="J6" i="4"/>
  <c r="I6" i="4"/>
  <c r="H6" i="4"/>
  <c r="J5" i="4"/>
  <c r="I5" i="4"/>
  <c r="H5" i="4"/>
  <c r="B20" i="4"/>
  <c r="G20" i="21"/>
  <c r="F20" i="21"/>
  <c r="E20" i="21"/>
  <c r="D20" i="21"/>
  <c r="C20" i="21"/>
  <c r="B20" i="21"/>
  <c r="G20" i="20"/>
  <c r="F20" i="20"/>
  <c r="E20" i="20"/>
  <c r="D20" i="20"/>
  <c r="C20" i="20"/>
  <c r="G20" i="19"/>
  <c r="F20" i="19"/>
  <c r="E20" i="19"/>
  <c r="D20" i="19"/>
  <c r="C20" i="19"/>
  <c r="H20" i="19" s="1"/>
  <c r="B20" i="19"/>
  <c r="G20" i="18"/>
  <c r="F20" i="18"/>
  <c r="E20" i="18"/>
  <c r="I20" i="18" s="1"/>
  <c r="D20" i="18"/>
  <c r="C20" i="18"/>
  <c r="B20" i="18"/>
  <c r="G20" i="15"/>
  <c r="F20" i="15"/>
  <c r="E20" i="15"/>
  <c r="D20" i="15"/>
  <c r="C20" i="15"/>
  <c r="B20" i="15"/>
  <c r="G20" i="14"/>
  <c r="F20" i="14"/>
  <c r="E20" i="14"/>
  <c r="D20" i="14"/>
  <c r="C20" i="14"/>
  <c r="H20" i="14" s="1"/>
  <c r="B20" i="14"/>
  <c r="J20" i="14" s="1"/>
  <c r="G20" i="13"/>
  <c r="F20" i="13"/>
  <c r="E20" i="13"/>
  <c r="D20" i="13"/>
  <c r="C20" i="13"/>
  <c r="B20" i="13"/>
  <c r="H20" i="13" s="1"/>
  <c r="G20" i="12"/>
  <c r="F20" i="12"/>
  <c r="E20" i="12"/>
  <c r="D20" i="12"/>
  <c r="C20" i="12"/>
  <c r="B20" i="12"/>
  <c r="G20" i="11"/>
  <c r="F20" i="11"/>
  <c r="E20" i="11"/>
  <c r="I20" i="11" s="1"/>
  <c r="D20" i="11"/>
  <c r="C20" i="11"/>
  <c r="B20" i="11"/>
  <c r="J20" i="10"/>
  <c r="I20" i="10"/>
  <c r="H20" i="10"/>
  <c r="C20" i="4"/>
  <c r="D20" i="4"/>
  <c r="E20" i="4"/>
  <c r="I20" i="4" s="1"/>
  <c r="F20" i="4"/>
  <c r="G20" i="4"/>
  <c r="J20" i="21" l="1"/>
  <c r="I20" i="21"/>
  <c r="J20" i="18"/>
  <c r="H20" i="18"/>
  <c r="I20" i="19"/>
  <c r="J20" i="19"/>
  <c r="I20" i="13"/>
  <c r="J20" i="13"/>
  <c r="I20" i="15"/>
  <c r="J20" i="15"/>
  <c r="H20" i="15"/>
  <c r="H20" i="4"/>
  <c r="H20" i="21"/>
  <c r="J20" i="11"/>
  <c r="H20" i="11"/>
  <c r="J20" i="12"/>
  <c r="H20" i="12"/>
  <c r="I20" i="12"/>
  <c r="J20" i="9"/>
  <c r="I20" i="9"/>
  <c r="H20" i="9"/>
  <c r="J20" i="4"/>
  <c r="I20" i="14"/>
  <c r="J10" i="20"/>
  <c r="J13" i="20"/>
  <c r="J20" i="20"/>
  <c r="H5" i="20"/>
  <c r="H12" i="20"/>
  <c r="H18" i="20"/>
  <c r="I10" i="20"/>
  <c r="I5" i="20"/>
  <c r="I18" i="20"/>
  <c r="J15" i="20"/>
  <c r="H20" i="20"/>
  <c r="I6" i="20"/>
  <c r="H9" i="20"/>
  <c r="I14" i="20"/>
  <c r="H17" i="20"/>
  <c r="J14" i="20"/>
  <c r="I17" i="20"/>
  <c r="I20" i="20"/>
  <c r="H15" i="20"/>
</calcChain>
</file>

<file path=xl/sharedStrings.xml><?xml version="1.0" encoding="utf-8"?>
<sst xmlns="http://schemas.openxmlformats.org/spreadsheetml/2006/main" count="500" uniqueCount="48">
  <si>
    <t>Contenido</t>
  </si>
  <si>
    <t>Emisiones de parámetros no regulados por mezcla de etanol</t>
  </si>
  <si>
    <t>Haga clic en el nombre de la hoja de trabajo o en la pestaña en la parte inferior para obtener datos</t>
  </si>
  <si>
    <t>Nombre de la hoja de cálculo</t>
  </si>
  <si>
    <t>Argentina</t>
  </si>
  <si>
    <t>Bolivia</t>
  </si>
  <si>
    <t>Chile</t>
  </si>
  <si>
    <t>Colombia</t>
  </si>
  <si>
    <t>Costa Rica</t>
  </si>
  <si>
    <t>República Dominicana</t>
  </si>
  <si>
    <t>Ecuador</t>
  </si>
  <si>
    <t>El Salvador</t>
  </si>
  <si>
    <t>Guatemala</t>
  </si>
  <si>
    <t>Honduras</t>
  </si>
  <si>
    <t>Jamaica</t>
  </si>
  <si>
    <t>México</t>
  </si>
  <si>
    <t>Nicaragua</t>
  </si>
  <si>
    <t>Panamá</t>
  </si>
  <si>
    <t>Perú</t>
  </si>
  <si>
    <t>Uruguay</t>
  </si>
  <si>
    <t xml:space="preserve">Emisiones </t>
  </si>
  <si>
    <t>E0 g/km</t>
  </si>
  <si>
    <t>E10 g/km</t>
  </si>
  <si>
    <t>E15  g/km</t>
  </si>
  <si>
    <t>E20  g/km</t>
  </si>
  <si>
    <t>E25  g/km</t>
  </si>
  <si>
    <t>E30  g/km</t>
  </si>
  <si>
    <t>E10 - E0</t>
  </si>
  <si>
    <t>E20 - E0</t>
  </si>
  <si>
    <t>E30 - E0</t>
  </si>
  <si>
    <t>Euro 6</t>
  </si>
  <si>
    <t>TIER USA</t>
  </si>
  <si>
    <t>CO</t>
  </si>
  <si>
    <t>VOC</t>
  </si>
  <si>
    <t>VOCevap</t>
  </si>
  <si>
    <t>NOx</t>
  </si>
  <si>
    <t>SOx</t>
  </si>
  <si>
    <t>NH3</t>
  </si>
  <si>
    <t>Butadieno</t>
  </si>
  <si>
    <t xml:space="preserve">Acetaldehído </t>
  </si>
  <si>
    <t>Formaldehídos</t>
  </si>
  <si>
    <t>Benceno</t>
  </si>
  <si>
    <t>CO2</t>
  </si>
  <si>
    <t>N2O</t>
  </si>
  <si>
    <t>CH4</t>
  </si>
  <si>
    <t>PM 2.5</t>
  </si>
  <si>
    <t>PM10</t>
  </si>
  <si>
    <t>THC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</si>
</sst>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003E6A"/>
      <name val="Arial"/>
      <family val="2"/>
    </font>
    <font>
      <b/>
      <i/>
      <sz val="12"/>
      <color rgb="FFD18316"/>
      <name val="Arial"/>
      <family val="2"/>
    </font>
    <font>
      <b/>
      <sz val="12"/>
      <color rgb="FFD18316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u/>
      <sz val="11"/>
      <color indexed="12"/>
      <name val="Arial"/>
      <family val="2"/>
    </font>
    <font>
      <b/>
      <sz val="11"/>
      <color rgb="FFD18316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183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8E1"/>
        <bgColor indexed="64"/>
      </patternFill>
    </fill>
    <fill>
      <patternFill patternType="solid">
        <fgColor rgb="FF002F60"/>
        <bgColor indexed="64"/>
      </patternFill>
    </fill>
    <fill>
      <patternFill patternType="solid">
        <fgColor rgb="FFD18316"/>
        <bgColor theme="4"/>
      </patternFill>
    </fill>
    <fill>
      <patternFill patternType="solid">
        <fgColor rgb="FF92D050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4" quotePrefix="1" applyAlignment="1" applyProtection="1">
      <alignment horizontal="left"/>
    </xf>
    <xf numFmtId="0" fontId="3" fillId="0" borderId="0" xfId="3" quotePrefix="1" applyAlignment="1">
      <alignment horizontal="left"/>
    </xf>
    <xf numFmtId="0" fontId="5" fillId="3" borderId="0" xfId="3" applyFont="1" applyFill="1" applyAlignment="1">
      <alignment horizontal="left"/>
    </xf>
    <xf numFmtId="0" fontId="7" fillId="0" borderId="0" xfId="3" applyFont="1"/>
    <xf numFmtId="0" fontId="8" fillId="3" borderId="0" xfId="0" applyFont="1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4" fillId="4" borderId="0" xfId="4" applyFill="1" applyAlignment="1" applyProtection="1"/>
    <xf numFmtId="0" fontId="9" fillId="5" borderId="1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43" fontId="10" fillId="6" borderId="2" xfId="5" applyFont="1" applyFill="1" applyBorder="1" applyAlignment="1">
      <alignment horizontal="center"/>
    </xf>
    <xf numFmtId="43" fontId="10" fillId="6" borderId="3" xfId="5" applyFont="1" applyFill="1" applyBorder="1" applyAlignment="1">
      <alignment horizontal="center"/>
    </xf>
    <xf numFmtId="43" fontId="8" fillId="0" borderId="1" xfId="0" applyNumberFormat="1" applyFont="1" applyBorder="1"/>
    <xf numFmtId="0" fontId="11" fillId="0" borderId="0" xfId="4" quotePrefix="1" applyFont="1" applyAlignment="1" applyProtection="1">
      <alignment horizontal="left"/>
    </xf>
    <xf numFmtId="0" fontId="12" fillId="0" borderId="0" xfId="3" applyFont="1"/>
    <xf numFmtId="43" fontId="10" fillId="7" borderId="2" xfId="5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 vertical="center" wrapText="1" readingOrder="1"/>
    </xf>
    <xf numFmtId="0" fontId="13" fillId="9" borderId="4" xfId="0" applyFont="1" applyFill="1" applyBorder="1" applyAlignment="1">
      <alignment horizontal="center" vertical="center" wrapText="1" readingOrder="1"/>
    </xf>
    <xf numFmtId="9" fontId="8" fillId="0" borderId="1" xfId="6" applyFont="1" applyBorder="1"/>
    <xf numFmtId="0" fontId="13" fillId="0" borderId="4" xfId="0" applyFont="1" applyBorder="1" applyAlignment="1">
      <alignment horizontal="center" vertical="center" wrapText="1" readingOrder="1"/>
    </xf>
    <xf numFmtId="0" fontId="14" fillId="0" borderId="4" xfId="0" applyFont="1" applyBorder="1" applyAlignment="1">
      <alignment horizontal="center" vertical="center" wrapText="1" readingOrder="1"/>
    </xf>
    <xf numFmtId="0" fontId="6" fillId="3" borderId="0" xfId="3" applyFont="1" applyFill="1" applyAlignment="1">
      <alignment horizontal="left" wrapText="1"/>
    </xf>
    <xf numFmtId="0" fontId="13" fillId="0" borderId="7" xfId="0" applyFont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center" vertical="center" wrapText="1" readingOrder="1"/>
    </xf>
    <xf numFmtId="0" fontId="13" fillId="0" borderId="5" xfId="0" applyFont="1" applyBorder="1" applyAlignment="1">
      <alignment horizontal="center" vertical="center" wrapText="1" readingOrder="1"/>
    </xf>
    <xf numFmtId="0" fontId="13" fillId="0" borderId="6" xfId="0" applyFont="1" applyBorder="1" applyAlignment="1">
      <alignment horizontal="center" vertical="center" wrapText="1" readingOrder="1"/>
    </xf>
  </cellXfs>
  <cellStyles count="8">
    <cellStyle name="Hipervínculo" xfId="4" builtinId="8"/>
    <cellStyle name="Millares" xfId="5" builtinId="3"/>
    <cellStyle name="Millares 2 3" xfId="7" xr:uid="{DBB0D6CC-6CEF-4BDE-AD1B-C844814C31CA}"/>
    <cellStyle name="Normal" xfId="0" builtinId="0"/>
    <cellStyle name="Normal 2" xfId="3" xr:uid="{A843CF68-2EF9-4AAF-B24B-6A16AF0FAEA8}"/>
    <cellStyle name="Normal 3" xfId="1" xr:uid="{EBE96810-070D-426E-8173-6CF07D4E1F01}"/>
    <cellStyle name="Normal 4" xfId="2" xr:uid="{D63345C6-E31E-4FDE-A306-8FD62C6C7937}"/>
    <cellStyle name="Porcentaje" xfId="6" builtinId="5"/>
  </cellStyles>
  <dxfs count="0"/>
  <tableStyles count="0" defaultTableStyle="TableStyleMedium2" defaultPivotStyle="PivotStyleLight16"/>
  <colors>
    <mruColors>
      <color rgb="FFD18316"/>
      <color rgb="FF002F60"/>
      <color rgb="FF6BA53A"/>
      <color rgb="FF003E6A"/>
      <color rgb="FFECE8E1"/>
      <color rgb="FFFFA400"/>
      <color rgb="FF006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0</xdr:col>
      <xdr:colOff>1892300</xdr:colOff>
      <xdr:row>2</xdr:row>
      <xdr:rowOff>13993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1665B-1BAC-4CA2-B660-DC1E2636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1892300" cy="34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A7-083E-4BCE-B277-CE0F909BA0C9}">
  <sheetPr>
    <tabColor rgb="FF002F60"/>
  </sheetPr>
  <dimension ref="A1:A24"/>
  <sheetViews>
    <sheetView showGridLines="0" tabSelected="1" zoomScale="70" zoomScaleNormal="70" workbookViewId="0"/>
  </sheetViews>
  <sheetFormatPr baseColWidth="10" defaultColWidth="10.77734375" defaultRowHeight="13.8" x14ac:dyDescent="0.25"/>
  <cols>
    <col min="1" max="1" width="80.77734375" style="6" bestFit="1" customWidth="1"/>
    <col min="2" max="16384" width="10.77734375" style="6"/>
  </cols>
  <sheetData>
    <row r="1" spans="1:1" x14ac:dyDescent="0.25">
      <c r="A1" s="5"/>
    </row>
    <row r="2" spans="1:1" x14ac:dyDescent="0.25">
      <c r="A2" s="5"/>
    </row>
    <row r="3" spans="1:1" x14ac:dyDescent="0.25">
      <c r="A3" s="5"/>
    </row>
    <row r="4" spans="1:1" ht="17.399999999999999" x14ac:dyDescent="0.3">
      <c r="A4" s="3" t="s">
        <v>0</v>
      </c>
    </row>
    <row r="5" spans="1:1" ht="15.45" customHeight="1" x14ac:dyDescent="0.25">
      <c r="A5" s="26" t="s">
        <v>1</v>
      </c>
    </row>
    <row r="6" spans="1:1" x14ac:dyDescent="0.25">
      <c r="A6" s="26"/>
    </row>
    <row r="7" spans="1:1" x14ac:dyDescent="0.25">
      <c r="A7" s="2" t="s">
        <v>2</v>
      </c>
    </row>
    <row r="8" spans="1:1" x14ac:dyDescent="0.25">
      <c r="A8" s="7" t="s">
        <v>3</v>
      </c>
    </row>
    <row r="9" spans="1:1" x14ac:dyDescent="0.25">
      <c r="A9" s="12" t="s">
        <v>4</v>
      </c>
    </row>
    <row r="10" spans="1:1" x14ac:dyDescent="0.25">
      <c r="A10" s="12" t="s">
        <v>5</v>
      </c>
    </row>
    <row r="11" spans="1:1" x14ac:dyDescent="0.25">
      <c r="A11" s="12" t="s">
        <v>6</v>
      </c>
    </row>
    <row r="12" spans="1:1" x14ac:dyDescent="0.25">
      <c r="A12" s="12" t="s">
        <v>7</v>
      </c>
    </row>
    <row r="13" spans="1:1" x14ac:dyDescent="0.25">
      <c r="A13" s="12" t="s">
        <v>8</v>
      </c>
    </row>
    <row r="14" spans="1:1" x14ac:dyDescent="0.25">
      <c r="A14" s="12" t="s">
        <v>9</v>
      </c>
    </row>
    <row r="15" spans="1:1" x14ac:dyDescent="0.25">
      <c r="A15" s="12" t="s">
        <v>10</v>
      </c>
    </row>
    <row r="16" spans="1:1" x14ac:dyDescent="0.25">
      <c r="A16" s="12" t="s">
        <v>11</v>
      </c>
    </row>
    <row r="17" spans="1:1" x14ac:dyDescent="0.25">
      <c r="A17" s="12" t="s">
        <v>12</v>
      </c>
    </row>
    <row r="18" spans="1:1" x14ac:dyDescent="0.25">
      <c r="A18" s="12" t="s">
        <v>13</v>
      </c>
    </row>
    <row r="19" spans="1:1" x14ac:dyDescent="0.25">
      <c r="A19" s="12" t="s">
        <v>14</v>
      </c>
    </row>
    <row r="20" spans="1:1" x14ac:dyDescent="0.25">
      <c r="A20" s="12" t="s">
        <v>15</v>
      </c>
    </row>
    <row r="21" spans="1:1" x14ac:dyDescent="0.25">
      <c r="A21" s="12" t="s">
        <v>16</v>
      </c>
    </row>
    <row r="22" spans="1:1" x14ac:dyDescent="0.25">
      <c r="A22" s="12" t="s">
        <v>17</v>
      </c>
    </row>
    <row r="23" spans="1:1" x14ac:dyDescent="0.25">
      <c r="A23" s="12" t="s">
        <v>18</v>
      </c>
    </row>
    <row r="24" spans="1:1" x14ac:dyDescent="0.25">
      <c r="A24" s="12" t="s">
        <v>19</v>
      </c>
    </row>
  </sheetData>
  <mergeCells count="1">
    <mergeCell ref="A5:A6"/>
  </mergeCells>
  <hyperlinks>
    <hyperlink ref="A9" location="Argentina!A1" display="Argentina" xr:uid="{52F41C02-FB17-40E8-9576-770EFBC6C47F}"/>
    <hyperlink ref="A10" location="Bolivia!A1" display="Bolivia" xr:uid="{6F0D300B-3674-44F3-860D-53DBFD4A4C07}"/>
    <hyperlink ref="A11" location="Chile!A1" display="Chile" xr:uid="{84C30D8F-C4FA-4E9E-9E02-0CF531E6F6A7}"/>
    <hyperlink ref="A12" location="Colombia!A1" display="Colombia" xr:uid="{652D061D-962D-4590-BBB9-43E1018ED83F}"/>
    <hyperlink ref="A13" location="'Costa Rica'!A1" display="Costa Rica" xr:uid="{8CFC9BDF-65CB-434D-AF2C-C796AD422BEA}"/>
    <hyperlink ref="A14" location="'República Dominicana'!A1" display="Repúblia Dominicana" xr:uid="{2F667091-2D0F-4D5F-8738-53AB376E7F72}"/>
    <hyperlink ref="A15" location="Ecuador!A1" display="Ecuador" xr:uid="{4A147E18-6BA9-4E62-A7AB-14236C01CD13}"/>
    <hyperlink ref="A16" location="'El Salvador'!A1" display="El Salvador" xr:uid="{20FF55FB-EEC9-491C-A402-1A903FE5ACB3}"/>
    <hyperlink ref="A17" location="Guatemala!A1" display="Guatemala" xr:uid="{73C7350E-30BA-4270-AC39-9363925DD273}"/>
    <hyperlink ref="A18" location="Honduras!A1" display="Honduras" xr:uid="{00517572-E561-45C5-AD72-5F8CDFFCF0AA}"/>
    <hyperlink ref="A19" location="Jamaica!A1" display="Jamaica" xr:uid="{87D28923-BBBB-4785-AE0F-12C8F9384DEB}"/>
    <hyperlink ref="A20" location="México!A1" display="México" xr:uid="{16357491-AF29-43B6-A48D-AD6776937DFF}"/>
    <hyperlink ref="A21" location="Nicaragua!A1" display="Nicaragua" xr:uid="{222D3F23-8CF1-4BD5-8567-C218CEE72298}"/>
    <hyperlink ref="A22" location="Panamá!A1" display="Panamá" xr:uid="{93CC6527-9A28-497E-ABAD-3BF3F85D6CF3}"/>
    <hyperlink ref="A23" location="Perú!A1" display="Perú" xr:uid="{1409AC3F-7DF8-44EE-B418-D6AD8A920690}"/>
    <hyperlink ref="A24" location="Uruguay!A1" display="Uruguay" xr:uid="{EFB414EE-D268-4479-8B13-02D87491DCDD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78F-F4E6-4B1E-8BAD-75B0AA18B25B}">
  <sheetPr>
    <tabColor rgb="FFD18316"/>
  </sheetPr>
  <dimension ref="A1:M22"/>
  <sheetViews>
    <sheetView zoomScale="70" zoomScaleNormal="70" workbookViewId="0">
      <selection activeCell="K1" sqref="K1:L104857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8" width="14.77734375" style="6" bestFit="1" customWidth="1"/>
    <col min="9" max="16384" width="10.77734375" style="6"/>
  </cols>
  <sheetData>
    <row r="1" spans="1:13" x14ac:dyDescent="0.25">
      <c r="A1" s="18" t="s">
        <v>0</v>
      </c>
    </row>
    <row r="2" spans="1:13" x14ac:dyDescent="0.25">
      <c r="A2" s="18"/>
    </row>
    <row r="3" spans="1:13" x14ac:dyDescent="0.25">
      <c r="A3" s="19" t="s">
        <v>4</v>
      </c>
    </row>
    <row r="4" spans="1:13" ht="14.4" x14ac:dyDescent="0.3">
      <c r="A4" s="14" t="s">
        <v>20</v>
      </c>
      <c r="B4" s="15" t="s">
        <v>21</v>
      </c>
      <c r="C4" s="15" t="s">
        <v>22</v>
      </c>
      <c r="D4" s="15" t="s">
        <v>23</v>
      </c>
      <c r="E4" s="15" t="s">
        <v>24</v>
      </c>
      <c r="F4" s="15" t="s">
        <v>25</v>
      </c>
      <c r="G4" s="16" t="s">
        <v>26</v>
      </c>
      <c r="H4" s="20" t="s">
        <v>27</v>
      </c>
      <c r="I4" s="20" t="s">
        <v>28</v>
      </c>
      <c r="J4" s="20" t="s">
        <v>29</v>
      </c>
      <c r="K4" s="21" t="s">
        <v>30</v>
      </c>
      <c r="L4" s="22" t="s">
        <v>31</v>
      </c>
      <c r="M4"/>
    </row>
    <row r="5" spans="1:13" x14ac:dyDescent="0.25">
      <c r="A5" s="13" t="s">
        <v>32</v>
      </c>
      <c r="B5" s="17">
        <v>7.6868613524099452</v>
      </c>
      <c r="C5" s="17">
        <v>6.324523245522097</v>
      </c>
      <c r="D5" s="17">
        <v>5.7487272637650699</v>
      </c>
      <c r="E5" s="17">
        <v>5.1611837502551898</v>
      </c>
      <c r="F5" s="17">
        <v>4.7069515675454374</v>
      </c>
      <c r="G5" s="17">
        <v>4.2239831111602237</v>
      </c>
      <c r="H5" s="23">
        <f>+(C5-B5)/B5</f>
        <v>-0.17722943662314594</v>
      </c>
      <c r="I5" s="23">
        <f>(E5-B5)/B5</f>
        <v>-0.32857072429996648</v>
      </c>
      <c r="J5" s="23">
        <f>(G5-B5)/B5</f>
        <v>-0.45049313139543717</v>
      </c>
      <c r="K5" s="24">
        <v>1</v>
      </c>
      <c r="L5" s="24">
        <v>3.5</v>
      </c>
    </row>
    <row r="6" spans="1:13" x14ac:dyDescent="0.25">
      <c r="A6" s="13" t="s">
        <v>33</v>
      </c>
      <c r="B6" s="17">
        <v>1.1610954228333288</v>
      </c>
      <c r="C6" s="17">
        <v>0.99496386561939743</v>
      </c>
      <c r="D6" s="17">
        <v>0.92810361395289587</v>
      </c>
      <c r="E6" s="17">
        <v>0.86137679782007481</v>
      </c>
      <c r="F6" s="17">
        <v>0.81023561053493043</v>
      </c>
      <c r="G6" s="17">
        <v>0.74139712677783853</v>
      </c>
      <c r="H6" s="23">
        <f t="shared" ref="H6:H20" si="0">+(C6-B6)/B6</f>
        <v>-0.14308174328043921</v>
      </c>
      <c r="I6" s="23">
        <f t="shared" ref="I6:I20" si="1">(E6-B6)/B6</f>
        <v>-0.25813436098290221</v>
      </c>
      <c r="J6" s="23">
        <f t="shared" ref="J6:J20" si="2">(G6-B6)/B6</f>
        <v>-0.36146753126571968</v>
      </c>
      <c r="K6" s="24">
        <v>0.1</v>
      </c>
      <c r="L6" s="24">
        <v>0.27300000000000002</v>
      </c>
    </row>
    <row r="7" spans="1:13" ht="17.399999999999999" x14ac:dyDescent="0.25">
      <c r="A7" s="13" t="s">
        <v>34</v>
      </c>
      <c r="B7" s="17">
        <v>0.49297078815026435</v>
      </c>
      <c r="C7" s="17">
        <v>0.45498574519017204</v>
      </c>
      <c r="D7" s="17">
        <v>0.45984380525280844</v>
      </c>
      <c r="E7" s="17">
        <v>0.46439114816476046</v>
      </c>
      <c r="F7" s="17">
        <v>0.48085938766754222</v>
      </c>
      <c r="G7" s="17">
        <v>0.47634836083879356</v>
      </c>
      <c r="H7" s="23">
        <f t="shared" si="0"/>
        <v>-7.7053334341818935E-2</v>
      </c>
      <c r="I7" s="23">
        <f t="shared" si="1"/>
        <v>-5.7974307347380634E-2</v>
      </c>
      <c r="J7" s="23">
        <f t="shared" si="2"/>
        <v>-3.3718889051908778E-2</v>
      </c>
      <c r="K7" s="25"/>
      <c r="L7" s="25"/>
    </row>
    <row r="8" spans="1:13" x14ac:dyDescent="0.25">
      <c r="A8" s="13" t="s">
        <v>35</v>
      </c>
      <c r="B8" s="17">
        <v>0.50298146801630195</v>
      </c>
      <c r="C8" s="17">
        <v>0.43759387717418269</v>
      </c>
      <c r="D8" s="17">
        <v>0.42373673773033338</v>
      </c>
      <c r="E8" s="17">
        <v>0.40162567239633679</v>
      </c>
      <c r="F8" s="17">
        <v>0.38419736452957204</v>
      </c>
      <c r="G8" s="17">
        <v>0.36373607841066891</v>
      </c>
      <c r="H8" s="23">
        <f t="shared" si="0"/>
        <v>-0.13</v>
      </c>
      <c r="I8" s="23">
        <f t="shared" si="1"/>
        <v>-0.2015100000000003</v>
      </c>
      <c r="J8" s="23">
        <f t="shared" si="2"/>
        <v>-0.27684000000000003</v>
      </c>
      <c r="K8" s="24">
        <v>0.06</v>
      </c>
      <c r="L8" s="24">
        <v>0.20300000000000001</v>
      </c>
    </row>
    <row r="9" spans="1:13" ht="17.399999999999999" x14ac:dyDescent="0.25">
      <c r="A9" s="13" t="s">
        <v>36</v>
      </c>
      <c r="B9" s="17">
        <v>2.0666399898963596E-3</v>
      </c>
      <c r="C9" s="17">
        <v>1.7543570396841371E-3</v>
      </c>
      <c r="D9" s="17">
        <v>1.6221887980466965E-3</v>
      </c>
      <c r="E9" s="17">
        <v>1.4954308307823757E-3</v>
      </c>
      <c r="F9" s="17">
        <v>1.3579448407702891E-3</v>
      </c>
      <c r="G9" s="17">
        <v>1.2133956835649105E-3</v>
      </c>
      <c r="H9" s="23">
        <f t="shared" si="0"/>
        <v>-0.15110660382986363</v>
      </c>
      <c r="I9" s="23">
        <f t="shared" si="1"/>
        <v>-0.27639509634313697</v>
      </c>
      <c r="J9" s="23">
        <f t="shared" si="2"/>
        <v>-0.41286547753981989</v>
      </c>
      <c r="K9" s="25"/>
      <c r="L9" s="25"/>
    </row>
    <row r="10" spans="1:13" ht="17.399999999999999" x14ac:dyDescent="0.25">
      <c r="A10" s="13" t="s">
        <v>37</v>
      </c>
      <c r="B10" s="17">
        <v>7.9698827848337525E-2</v>
      </c>
      <c r="C10" s="17">
        <v>7.8120633237479364E-2</v>
      </c>
      <c r="D10" s="17">
        <v>7.8491508971031035E-2</v>
      </c>
      <c r="E10" s="17">
        <v>7.9374508855806172E-2</v>
      </c>
      <c r="F10" s="17">
        <v>7.9995528435178861E-2</v>
      </c>
      <c r="G10" s="17">
        <v>8.0511598072929486E-2</v>
      </c>
      <c r="H10" s="23">
        <f t="shared" si="0"/>
        <v>-1.9801980198019702E-2</v>
      </c>
      <c r="I10" s="23">
        <f t="shared" si="1"/>
        <v>-4.0693069306930573E-3</v>
      </c>
      <c r="J10" s="23">
        <f t="shared" si="2"/>
        <v>1.0198019801980242E-2</v>
      </c>
      <c r="K10" s="25"/>
      <c r="L10" s="25"/>
    </row>
    <row r="11" spans="1:13" ht="17.399999999999999" x14ac:dyDescent="0.25">
      <c r="A11" s="13" t="s">
        <v>38</v>
      </c>
      <c r="B11" s="17">
        <v>8.4529065140245239E-3</v>
      </c>
      <c r="C11" s="17">
        <v>7.4389691725964642E-3</v>
      </c>
      <c r="D11" s="17">
        <v>7.051403684365771E-3</v>
      </c>
      <c r="E11" s="17">
        <v>6.6742179873746131E-3</v>
      </c>
      <c r="F11" s="17">
        <v>6.3880553433418108E-3</v>
      </c>
      <c r="G11" s="17">
        <v>5.9925157299002508E-3</v>
      </c>
      <c r="H11" s="23">
        <f t="shared" si="0"/>
        <v>-0.11995132558792641</v>
      </c>
      <c r="I11" s="23">
        <f t="shared" si="1"/>
        <v>-0.21042330513165194</v>
      </c>
      <c r="J11" s="23">
        <f t="shared" si="2"/>
        <v>-0.29107038863403367</v>
      </c>
      <c r="K11" s="25"/>
      <c r="L11" s="25"/>
    </row>
    <row r="12" spans="1:13" ht="17.399999999999999" x14ac:dyDescent="0.25">
      <c r="A12" s="13" t="s">
        <v>39</v>
      </c>
      <c r="B12" s="17">
        <v>2.3964476580757975E-2</v>
      </c>
      <c r="C12" s="17">
        <v>4.0356642764932615E-2</v>
      </c>
      <c r="D12" s="17">
        <v>6.1457712546492134E-2</v>
      </c>
      <c r="E12" s="17">
        <v>8.3729763247271993E-2</v>
      </c>
      <c r="F12" s="17">
        <v>9.5677517062028872E-2</v>
      </c>
      <c r="G12" s="17">
        <v>0.11305334087306143</v>
      </c>
      <c r="H12" s="23">
        <f t="shared" si="0"/>
        <v>0.68401937046004824</v>
      </c>
      <c r="I12" s="23">
        <f t="shared" si="1"/>
        <v>2.4939116222760287</v>
      </c>
      <c r="J12" s="23">
        <f t="shared" si="2"/>
        <v>3.7175384987893465</v>
      </c>
      <c r="K12" s="25"/>
      <c r="L12" s="25"/>
    </row>
    <row r="13" spans="1:13" ht="17.399999999999999" x14ac:dyDescent="0.25">
      <c r="A13" s="13" t="s">
        <v>40</v>
      </c>
      <c r="B13" s="17">
        <v>9.5092541332212274E-2</v>
      </c>
      <c r="C13" s="17">
        <v>0.1077715468431739</v>
      </c>
      <c r="D13" s="17">
        <v>0.1265470408373229</v>
      </c>
      <c r="E13" s="17">
        <v>0.13257696454157775</v>
      </c>
      <c r="F13" s="17">
        <v>0.14666566414859983</v>
      </c>
      <c r="G13" s="17">
        <v>0.15966227874761105</v>
      </c>
      <c r="H13" s="23">
        <f t="shared" si="0"/>
        <v>0.13333333333333325</v>
      </c>
      <c r="I13" s="23">
        <f t="shared" si="1"/>
        <v>0.39418888888888859</v>
      </c>
      <c r="J13" s="23">
        <f t="shared" si="2"/>
        <v>0.67901999999999996</v>
      </c>
      <c r="K13" s="25"/>
      <c r="L13" s="25"/>
    </row>
    <row r="14" spans="1:13" ht="17.399999999999999" x14ac:dyDescent="0.25">
      <c r="A14" s="13" t="s">
        <v>41</v>
      </c>
      <c r="B14" s="17">
        <v>1.4275392398221932E-2</v>
      </c>
      <c r="C14" s="17">
        <v>1.299876252827799E-2</v>
      </c>
      <c r="D14" s="17">
        <v>1.2793017630840861E-2</v>
      </c>
      <c r="E14" s="17">
        <v>1.2686792227599315E-2</v>
      </c>
      <c r="F14" s="17">
        <v>1.213309028394724E-2</v>
      </c>
      <c r="G14" s="17">
        <v>1.1741530900315721E-2</v>
      </c>
      <c r="H14" s="23">
        <f t="shared" si="0"/>
        <v>-8.9428706009016826E-2</v>
      </c>
      <c r="I14" s="23">
        <f t="shared" si="1"/>
        <v>-0.11128241706480063</v>
      </c>
      <c r="J14" s="23">
        <f t="shared" si="2"/>
        <v>-0.1774985532602113</v>
      </c>
      <c r="K14" s="25"/>
      <c r="L14" s="25"/>
    </row>
    <row r="15" spans="1:13" x14ac:dyDescent="0.25">
      <c r="A15" s="13" t="s">
        <v>42</v>
      </c>
      <c r="B15" s="17">
        <v>182.38808205254432</v>
      </c>
      <c r="C15" s="17">
        <v>173.26867794991713</v>
      </c>
      <c r="D15" s="17">
        <v>169.78506558271349</v>
      </c>
      <c r="E15" s="17">
        <v>168.06123765291403</v>
      </c>
      <c r="F15" s="17">
        <v>167.37060158985054</v>
      </c>
      <c r="G15" s="17">
        <v>164.28548016783887</v>
      </c>
      <c r="H15" s="23">
        <f t="shared" si="0"/>
        <v>-4.9999999999999836E-2</v>
      </c>
      <c r="I15" s="23">
        <f t="shared" si="1"/>
        <v>-7.8551428571428578E-2</v>
      </c>
      <c r="J15" s="23">
        <f t="shared" si="2"/>
        <v>-9.9253206026314031E-2</v>
      </c>
      <c r="K15" s="24">
        <v>95</v>
      </c>
      <c r="L15" s="24">
        <v>255</v>
      </c>
    </row>
    <row r="16" spans="1:13" ht="17.399999999999999" x14ac:dyDescent="0.25">
      <c r="A16" s="13" t="s">
        <v>43</v>
      </c>
      <c r="B16" s="17">
        <v>3.3590544697667058E-3</v>
      </c>
      <c r="C16" s="17">
        <v>3.3274437541027293E-3</v>
      </c>
      <c r="D16" s="17">
        <v>3.3435818563101283E-3</v>
      </c>
      <c r="E16" s="17">
        <v>3.4126030221014805E-3</v>
      </c>
      <c r="F16" s="17">
        <v>3.4505325534544993E-3</v>
      </c>
      <c r="G16" s="17">
        <v>3.4896932389965338E-3</v>
      </c>
      <c r="H16" s="23">
        <f t="shared" si="0"/>
        <v>-9.4105993065875856E-3</v>
      </c>
      <c r="I16" s="23">
        <f t="shared" si="1"/>
        <v>1.5941555225358946E-2</v>
      </c>
      <c r="J16" s="23">
        <f t="shared" si="2"/>
        <v>3.8891530460624296E-2</v>
      </c>
      <c r="K16" s="25"/>
      <c r="L16" s="25"/>
    </row>
    <row r="17" spans="1:12" ht="17.399999999999999" x14ac:dyDescent="0.25">
      <c r="A17" s="13" t="s">
        <v>44</v>
      </c>
      <c r="B17" s="17">
        <v>0.25504422830526147</v>
      </c>
      <c r="C17" s="17">
        <v>0.25504422830526147</v>
      </c>
      <c r="D17" s="17">
        <v>0.25886989172984032</v>
      </c>
      <c r="E17" s="17">
        <v>0.26448086475255611</v>
      </c>
      <c r="F17" s="17">
        <v>0.26932670509035606</v>
      </c>
      <c r="G17" s="17">
        <v>0.27391750119985081</v>
      </c>
      <c r="H17" s="23">
        <f t="shared" si="0"/>
        <v>0</v>
      </c>
      <c r="I17" s="23">
        <f t="shared" si="1"/>
        <v>3.699999999999988E-2</v>
      </c>
      <c r="J17" s="23">
        <f t="shared" si="2"/>
        <v>7.3999999999999982E-2</v>
      </c>
      <c r="K17" s="25"/>
      <c r="L17" s="25"/>
    </row>
    <row r="18" spans="1:12" ht="14.4" customHeight="1" x14ac:dyDescent="0.25">
      <c r="A18" s="13" t="s">
        <v>45</v>
      </c>
      <c r="B18" s="17">
        <v>1.2134204627692576E-2</v>
      </c>
      <c r="C18" s="17">
        <v>9.927985604475744E-3</v>
      </c>
      <c r="D18" s="17">
        <v>8.9572492342603373E-3</v>
      </c>
      <c r="E18" s="17">
        <v>8.0074719447654902E-3</v>
      </c>
      <c r="F18" s="17">
        <v>6.9893018655509224E-3</v>
      </c>
      <c r="G18" s="17">
        <v>5.9236980773371929E-3</v>
      </c>
      <c r="H18" s="23">
        <f t="shared" si="0"/>
        <v>-0.1818181818181818</v>
      </c>
      <c r="I18" s="23">
        <f t="shared" si="1"/>
        <v>-0.34009090909090922</v>
      </c>
      <c r="J18" s="23">
        <f t="shared" si="2"/>
        <v>-0.51181818181818195</v>
      </c>
      <c r="K18" s="27">
        <v>5.0000000000000001E-3</v>
      </c>
      <c r="L18" s="29">
        <v>7.0000000000000001E-3</v>
      </c>
    </row>
    <row r="19" spans="1:12" s="9" customFormat="1" x14ac:dyDescent="0.25">
      <c r="A19" s="13" t="s">
        <v>46</v>
      </c>
      <c r="B19" s="17">
        <v>5.3594342010360924E-2</v>
      </c>
      <c r="C19" s="17">
        <v>4.3849916190295296E-2</v>
      </c>
      <c r="D19" s="17">
        <v>3.9562368829466413E-2</v>
      </c>
      <c r="E19" s="17">
        <v>3.5367393513928161E-2</v>
      </c>
      <c r="F19" s="17">
        <v>3.0870340997967878E-2</v>
      </c>
      <c r="G19" s="17">
        <v>2.6163783326876185E-2</v>
      </c>
      <c r="H19" s="23">
        <f t="shared" si="0"/>
        <v>-0.18181818181818191</v>
      </c>
      <c r="I19" s="23">
        <f t="shared" si="1"/>
        <v>-0.34009090909090939</v>
      </c>
      <c r="J19" s="23">
        <f t="shared" si="2"/>
        <v>-0.51181818181818206</v>
      </c>
      <c r="K19" s="28"/>
      <c r="L19" s="30"/>
    </row>
    <row r="20" spans="1:12" ht="17.399999999999999" x14ac:dyDescent="0.25">
      <c r="A20" s="13" t="s">
        <v>47</v>
      </c>
      <c r="B20" s="17">
        <f>B11+B12+B13+B14+B17</f>
        <v>0.39682954513047819</v>
      </c>
      <c r="C20" s="17">
        <f t="shared" ref="C20:G20" si="3">C11+C12+C13+C14+C17</f>
        <v>0.42361014961424248</v>
      </c>
      <c r="D20" s="17">
        <f t="shared" si="3"/>
        <v>0.46671906642886196</v>
      </c>
      <c r="E20" s="17">
        <f t="shared" si="3"/>
        <v>0.50014860275637973</v>
      </c>
      <c r="F20" s="17">
        <f t="shared" si="3"/>
        <v>0.53019103192827377</v>
      </c>
      <c r="G20" s="17">
        <f t="shared" si="3"/>
        <v>0.56436716745073923</v>
      </c>
      <c r="H20" s="23">
        <f t="shared" si="0"/>
        <v>6.7486417814376157E-2</v>
      </c>
      <c r="I20" s="23">
        <f t="shared" si="1"/>
        <v>0.2603613034708141</v>
      </c>
      <c r="J20" s="23">
        <f t="shared" si="2"/>
        <v>0.42219039478316667</v>
      </c>
      <c r="K20" s="25"/>
      <c r="L20" s="25"/>
    </row>
    <row r="21" spans="1:12" x14ac:dyDescent="0.25">
      <c r="A21" s="6"/>
    </row>
    <row r="22" spans="1:12" s="10" customFormat="1" x14ac:dyDescent="0.25">
      <c r="A22" s="6"/>
    </row>
  </sheetData>
  <mergeCells count="2">
    <mergeCell ref="L18:L19"/>
    <mergeCell ref="K18:K19"/>
  </mergeCells>
  <hyperlinks>
    <hyperlink ref="A1" location="Contenido!A1" display="Contenido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BCF0-2FD2-4787-842E-05656ECE7E70}">
  <sheetPr>
    <tabColor rgb="FFD18316"/>
  </sheetPr>
  <dimension ref="A1:L23"/>
  <sheetViews>
    <sheetView zoomScale="70" zoomScaleNormal="70" workbookViewId="0">
      <selection activeCell="K1" sqref="K1:L1048576"/>
    </sheetView>
  </sheetViews>
  <sheetFormatPr baseColWidth="10" defaultColWidth="10.77734375" defaultRowHeight="13.8" x14ac:dyDescent="0.25"/>
  <cols>
    <col min="1" max="1" width="19.44140625" style="8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2" x14ac:dyDescent="0.25">
      <c r="A1" s="1" t="s">
        <v>0</v>
      </c>
    </row>
    <row r="2" spans="1:12" x14ac:dyDescent="0.25">
      <c r="A2" s="1"/>
    </row>
    <row r="3" spans="1:12" ht="15.6" x14ac:dyDescent="0.3">
      <c r="A3" s="4" t="s">
        <v>5</v>
      </c>
    </row>
    <row r="4" spans="1:12" x14ac:dyDescent="0.25">
      <c r="A4" s="14" t="s">
        <v>20</v>
      </c>
      <c r="B4" s="15" t="s">
        <v>21</v>
      </c>
      <c r="C4" s="15" t="s">
        <v>22</v>
      </c>
      <c r="D4" s="15" t="s">
        <v>23</v>
      </c>
      <c r="E4" s="15" t="s">
        <v>24</v>
      </c>
      <c r="F4" s="15" t="s">
        <v>25</v>
      </c>
      <c r="G4" s="16" t="s">
        <v>26</v>
      </c>
      <c r="H4" s="20" t="s">
        <v>27</v>
      </c>
      <c r="I4" s="20" t="s">
        <v>28</v>
      </c>
      <c r="J4" s="20" t="s">
        <v>29</v>
      </c>
      <c r="K4" s="21" t="s">
        <v>30</v>
      </c>
      <c r="L4" s="22" t="s">
        <v>31</v>
      </c>
    </row>
    <row r="5" spans="1:12" x14ac:dyDescent="0.25">
      <c r="A5" s="13" t="s">
        <v>32</v>
      </c>
      <c r="B5" s="17">
        <v>10.484663922958012</v>
      </c>
      <c r="C5" s="17">
        <v>9.8633956813449277</v>
      </c>
      <c r="D5" s="17">
        <v>9.7055032018178711</v>
      </c>
      <c r="E5" s="17">
        <v>9.5911080096782566</v>
      </c>
      <c r="F5" s="17">
        <v>9.516569247235573</v>
      </c>
      <c r="G5" s="17">
        <v>9.3697067776379814</v>
      </c>
      <c r="H5" s="23">
        <f>+(C5-B5)/B5</f>
        <v>-5.9254950485604793E-2</v>
      </c>
      <c r="I5" s="23">
        <f>(E5-B5)/B5</f>
        <v>-8.522504105478837E-2</v>
      </c>
      <c r="J5" s="23">
        <f>(G5-B5)/B5</f>
        <v>-0.10634171524359841</v>
      </c>
      <c r="K5" s="24">
        <v>1</v>
      </c>
      <c r="L5" s="24">
        <v>3.5</v>
      </c>
    </row>
    <row r="6" spans="1:12" x14ac:dyDescent="0.25">
      <c r="A6" s="13" t="s">
        <v>33</v>
      </c>
      <c r="B6" s="17">
        <v>1.1128971072657508</v>
      </c>
      <c r="C6" s="17">
        <v>1.0594858297384848</v>
      </c>
      <c r="D6" s="17">
        <v>1.0490843419506353</v>
      </c>
      <c r="E6" s="17">
        <v>1.0439029890604268</v>
      </c>
      <c r="F6" s="17">
        <v>1.0415135989787647</v>
      </c>
      <c r="G6" s="17">
        <v>1.0326949249558555</v>
      </c>
      <c r="H6" s="23">
        <f t="shared" ref="H6:H20" si="0">+(C6-B6)/B6</f>
        <v>-4.7993005982817923E-2</v>
      </c>
      <c r="I6" s="23">
        <f t="shared" ref="I6:I20" si="1">(E6-B6)/B6</f>
        <v>-6.1995055746738269E-2</v>
      </c>
      <c r="J6" s="23">
        <f t="shared" ref="J6:J20" si="2">(G6-B6)/B6</f>
        <v>-7.2066125238605422E-2</v>
      </c>
      <c r="K6" s="24">
        <v>0.1</v>
      </c>
      <c r="L6" s="24">
        <v>0.27300000000000002</v>
      </c>
    </row>
    <row r="7" spans="1:12" ht="17.399999999999999" x14ac:dyDescent="0.25">
      <c r="A7" s="13" t="s">
        <v>34</v>
      </c>
      <c r="B7" s="17">
        <v>0.49297078815026435</v>
      </c>
      <c r="C7" s="17">
        <v>0.45498574519017204</v>
      </c>
      <c r="D7" s="17">
        <v>0.45984380525280844</v>
      </c>
      <c r="E7" s="17">
        <v>0.46439114816476046</v>
      </c>
      <c r="F7" s="17">
        <v>0.48085938766754222</v>
      </c>
      <c r="G7" s="17">
        <v>0.47634836083879356</v>
      </c>
      <c r="H7" s="23">
        <f t="shared" si="0"/>
        <v>-7.7053334341818935E-2</v>
      </c>
      <c r="I7" s="23">
        <f t="shared" si="1"/>
        <v>-5.7974307347380634E-2</v>
      </c>
      <c r="J7" s="23">
        <f t="shared" si="2"/>
        <v>-3.3718889051908778E-2</v>
      </c>
      <c r="K7" s="25"/>
      <c r="L7" s="25"/>
    </row>
    <row r="8" spans="1:12" x14ac:dyDescent="0.25">
      <c r="A8" s="13" t="s">
        <v>35</v>
      </c>
      <c r="B8" s="17">
        <v>0.56989093290225012</v>
      </c>
      <c r="C8" s="17">
        <v>0.49580511162495755</v>
      </c>
      <c r="D8" s="17">
        <v>0.48010461642350044</v>
      </c>
      <c r="E8" s="17">
        <v>0.45505221101311755</v>
      </c>
      <c r="F8" s="17">
        <v>0.4353054901880547</v>
      </c>
      <c r="G8" s="17">
        <v>0.41212232703759111</v>
      </c>
      <c r="H8" s="23">
        <f t="shared" si="0"/>
        <v>-0.13000000000000009</v>
      </c>
      <c r="I8" s="23">
        <f t="shared" si="1"/>
        <v>-0.20151000000000027</v>
      </c>
      <c r="J8" s="23">
        <f t="shared" si="2"/>
        <v>-0.27684000000000014</v>
      </c>
      <c r="K8" s="24">
        <v>0.06</v>
      </c>
      <c r="L8" s="24">
        <v>0.20300000000000001</v>
      </c>
    </row>
    <row r="9" spans="1:12" ht="17.399999999999999" x14ac:dyDescent="0.25">
      <c r="A9" s="13" t="s">
        <v>36</v>
      </c>
      <c r="B9" s="17">
        <v>3.4295836772407721E-3</v>
      </c>
      <c r="C9" s="17">
        <v>2.9113509352225856E-3</v>
      </c>
      <c r="D9" s="17">
        <v>2.6920180826766941E-3</v>
      </c>
      <c r="E9" s="17">
        <v>2.4816635663529596E-3</v>
      </c>
      <c r="F9" s="17">
        <v>2.2535059242382409E-3</v>
      </c>
      <c r="G9" s="17">
        <v>2.0136269745739907E-3</v>
      </c>
      <c r="H9" s="23">
        <f t="shared" si="0"/>
        <v>-0.1511066038298631</v>
      </c>
      <c r="I9" s="23">
        <f t="shared" si="1"/>
        <v>-0.27639509634313675</v>
      </c>
      <c r="J9" s="23">
        <f t="shared" si="2"/>
        <v>-0.41286547753981945</v>
      </c>
      <c r="K9" s="25"/>
      <c r="L9" s="25"/>
    </row>
    <row r="10" spans="1:12" ht="17.399999999999999" x14ac:dyDescent="0.25">
      <c r="A10" s="13" t="s">
        <v>37</v>
      </c>
      <c r="B10" s="17">
        <v>6.4362221192435634E-2</v>
      </c>
      <c r="C10" s="17">
        <v>6.3087721762882465E-2</v>
      </c>
      <c r="D10" s="17">
        <v>6.3387229128827452E-2</v>
      </c>
      <c r="E10" s="17">
        <v>6.4100311559662462E-2</v>
      </c>
      <c r="F10" s="17">
        <v>6.4601827085191632E-2</v>
      </c>
      <c r="G10" s="17">
        <v>6.5018588398655527E-2</v>
      </c>
      <c r="H10" s="23">
        <f t="shared" si="0"/>
        <v>-1.9801980198019622E-2</v>
      </c>
      <c r="I10" s="23">
        <f t="shared" si="1"/>
        <v>-4.0693069306929628E-3</v>
      </c>
      <c r="J10" s="23">
        <f t="shared" si="2"/>
        <v>1.0198019801980278E-2</v>
      </c>
      <c r="K10" s="25"/>
      <c r="L10" s="25"/>
    </row>
    <row r="11" spans="1:12" ht="17.399999999999999" x14ac:dyDescent="0.25">
      <c r="A11" s="13" t="s">
        <v>38</v>
      </c>
      <c r="B11" s="17">
        <v>4.4393376839061754E-3</v>
      </c>
      <c r="C11" s="17">
        <v>4.1656417669602552E-3</v>
      </c>
      <c r="D11" s="17">
        <v>4.0933889511904917E-3</v>
      </c>
      <c r="E11" s="17">
        <v>4.0390412815152522E-3</v>
      </c>
      <c r="F11" s="17">
        <v>4.0027909680017742E-3</v>
      </c>
      <c r="G11" s="17">
        <v>3.9348585052348126E-3</v>
      </c>
      <c r="H11" s="23">
        <f t="shared" si="0"/>
        <v>-6.1652421247012479E-2</v>
      </c>
      <c r="I11" s="23">
        <f t="shared" si="1"/>
        <v>-9.0170298114988667E-2</v>
      </c>
      <c r="J11" s="23">
        <f t="shared" si="2"/>
        <v>-0.11363838810916302</v>
      </c>
      <c r="K11" s="25"/>
      <c r="L11" s="25"/>
    </row>
    <row r="12" spans="1:12" ht="17.399999999999999" x14ac:dyDescent="0.25">
      <c r="A12" s="13" t="s">
        <v>39</v>
      </c>
      <c r="B12" s="17">
        <v>1.2079277889144896E-2</v>
      </c>
      <c r="C12" s="17">
        <v>2.0341737946489771E-2</v>
      </c>
      <c r="D12" s="17">
        <v>3.0977717613759177E-2</v>
      </c>
      <c r="E12" s="17">
        <v>4.2203929405585199E-2</v>
      </c>
      <c r="F12" s="17">
        <v>4.8226186474008712E-2</v>
      </c>
      <c r="G12" s="17">
        <v>5.6984458479615981E-2</v>
      </c>
      <c r="H12" s="23">
        <f t="shared" si="0"/>
        <v>0.68401937046004846</v>
      </c>
      <c r="I12" s="23">
        <f t="shared" si="1"/>
        <v>2.4939116222760278</v>
      </c>
      <c r="J12" s="23">
        <f t="shared" si="2"/>
        <v>3.7175384987893483</v>
      </c>
      <c r="K12" s="25"/>
      <c r="L12" s="25"/>
    </row>
    <row r="13" spans="1:12" ht="17.399999999999999" x14ac:dyDescent="0.25">
      <c r="A13" s="13" t="s">
        <v>40</v>
      </c>
      <c r="B13" s="17">
        <v>4.9274103267209664E-2</v>
      </c>
      <c r="C13" s="17">
        <v>5.5843983702837621E-2</v>
      </c>
      <c r="D13" s="17">
        <v>6.5572881647930015E-2</v>
      </c>
      <c r="E13" s="17">
        <v>6.8697407285107426E-2</v>
      </c>
      <c r="F13" s="17">
        <v>7.5997748927169942E-2</v>
      </c>
      <c r="G13" s="17">
        <v>8.2732204867710379E-2</v>
      </c>
      <c r="H13" s="23">
        <f t="shared" si="0"/>
        <v>0.13333333333333339</v>
      </c>
      <c r="I13" s="23">
        <f t="shared" si="1"/>
        <v>0.3941888888888892</v>
      </c>
      <c r="J13" s="23">
        <f t="shared" si="2"/>
        <v>0.67902000000000018</v>
      </c>
      <c r="K13" s="25"/>
      <c r="L13" s="25"/>
    </row>
    <row r="14" spans="1:12" ht="17.399999999999999" x14ac:dyDescent="0.25">
      <c r="A14" s="13" t="s">
        <v>41</v>
      </c>
      <c r="B14" s="17">
        <v>1.8450693463630215E-2</v>
      </c>
      <c r="C14" s="17">
        <v>1.6800671822208731E-2</v>
      </c>
      <c r="D14" s="17">
        <v>1.6534750162864972E-2</v>
      </c>
      <c r="E14" s="17">
        <v>1.6397455698475727E-2</v>
      </c>
      <c r="F14" s="17">
        <v>1.5681805680069705E-2</v>
      </c>
      <c r="G14" s="17">
        <v>1.5175722067188218E-2</v>
      </c>
      <c r="H14" s="23">
        <f t="shared" si="0"/>
        <v>-8.9428706009017284E-2</v>
      </c>
      <c r="I14" s="23">
        <f t="shared" si="1"/>
        <v>-0.11128241706480059</v>
      </c>
      <c r="J14" s="23">
        <f t="shared" si="2"/>
        <v>-0.17749855326021113</v>
      </c>
      <c r="K14" s="25"/>
      <c r="L14" s="25"/>
    </row>
    <row r="15" spans="1:12" x14ac:dyDescent="0.25">
      <c r="A15" s="13" t="s">
        <v>42</v>
      </c>
      <c r="B15" s="17">
        <v>296.12420473004619</v>
      </c>
      <c r="C15" s="17">
        <v>281.31799449354384</v>
      </c>
      <c r="D15" s="17">
        <v>275.66202218319995</v>
      </c>
      <c r="E15" s="17">
        <v>272.86322541392281</v>
      </c>
      <c r="F15" s="17">
        <v>272.36855772274913</v>
      </c>
      <c r="G15" s="17">
        <v>267.34802207233645</v>
      </c>
      <c r="H15" s="23">
        <f t="shared" si="0"/>
        <v>-5.0000000000000142E-2</v>
      </c>
      <c r="I15" s="23">
        <f t="shared" si="1"/>
        <v>-7.85514285714288E-2</v>
      </c>
      <c r="J15" s="23">
        <f t="shared" si="2"/>
        <v>-9.7176057201885227E-2</v>
      </c>
      <c r="K15" s="24">
        <v>95</v>
      </c>
      <c r="L15" s="24">
        <v>255</v>
      </c>
    </row>
    <row r="16" spans="1:12" ht="17.399999999999999" x14ac:dyDescent="0.25">
      <c r="A16" s="13" t="s">
        <v>43</v>
      </c>
      <c r="B16" s="17">
        <v>1.5235698533284809E-2</v>
      </c>
      <c r="C16" s="17">
        <v>1.5092321479232104E-2</v>
      </c>
      <c r="D16" s="17">
        <v>1.5165519238406372E-2</v>
      </c>
      <c r="E16" s="17">
        <v>1.547857926285009E-2</v>
      </c>
      <c r="F16" s="17">
        <v>1.5650616635391863E-2</v>
      </c>
      <c r="G16" s="17">
        <v>1.5828238166880941E-2</v>
      </c>
      <c r="H16" s="23">
        <f t="shared" si="0"/>
        <v>-9.4105993065874277E-3</v>
      </c>
      <c r="I16" s="23">
        <f t="shared" si="1"/>
        <v>1.5941555225358981E-2</v>
      </c>
      <c r="J16" s="23">
        <f t="shared" si="2"/>
        <v>3.8891530460624074E-2</v>
      </c>
      <c r="K16" s="25"/>
      <c r="L16" s="25"/>
    </row>
    <row r="17" spans="1:12" ht="17.399999999999999" x14ac:dyDescent="0.25">
      <c r="A17" s="13" t="s">
        <v>44</v>
      </c>
      <c r="B17" s="17">
        <v>0.25281313416138734</v>
      </c>
      <c r="C17" s="17">
        <v>0.25281313416138734</v>
      </c>
      <c r="D17" s="17">
        <v>0.25660533117380813</v>
      </c>
      <c r="E17" s="17">
        <v>0.2621672201253587</v>
      </c>
      <c r="F17" s="17">
        <v>0.26697066967442507</v>
      </c>
      <c r="G17" s="17">
        <v>0.27152130608933006</v>
      </c>
      <c r="H17" s="23">
        <f t="shared" si="0"/>
        <v>0</v>
      </c>
      <c r="I17" s="23">
        <f t="shared" si="1"/>
        <v>3.7000000000000109E-2</v>
      </c>
      <c r="J17" s="23">
        <f t="shared" si="2"/>
        <v>7.4000000000000218E-2</v>
      </c>
      <c r="K17" s="25"/>
      <c r="L17" s="25"/>
    </row>
    <row r="18" spans="1:12" x14ac:dyDescent="0.25">
      <c r="A18" s="13" t="s">
        <v>45</v>
      </c>
      <c r="B18" s="17">
        <v>2.1685635952338796E-2</v>
      </c>
      <c r="C18" s="17">
        <v>1.774279305191356E-2</v>
      </c>
      <c r="D18" s="17">
        <v>1.6007942175726455E-2</v>
      </c>
      <c r="E18" s="17">
        <v>1.4310548307093392E-2</v>
      </c>
      <c r="F18" s="17">
        <v>1.2490926308547144E-2</v>
      </c>
      <c r="G18" s="17">
        <v>1.0586533187641753E-2</v>
      </c>
      <c r="H18" s="23">
        <f t="shared" si="0"/>
        <v>-0.18181818181818185</v>
      </c>
      <c r="I18" s="23">
        <f t="shared" si="1"/>
        <v>-0.34009090909090917</v>
      </c>
      <c r="J18" s="23">
        <f t="shared" si="2"/>
        <v>-0.51181818181818206</v>
      </c>
      <c r="K18" s="27">
        <v>5.0000000000000001E-3</v>
      </c>
      <c r="L18" s="29">
        <v>7.0000000000000001E-3</v>
      </c>
    </row>
    <row r="19" spans="1:12" s="11" customFormat="1" x14ac:dyDescent="0.25">
      <c r="A19" s="13" t="s">
        <v>46</v>
      </c>
      <c r="B19" s="17">
        <v>4.0243100146873136E-2</v>
      </c>
      <c r="C19" s="17">
        <v>3.2926172847441648E-2</v>
      </c>
      <c r="D19" s="17">
        <v>2.9706724835691797E-2</v>
      </c>
      <c r="E19" s="17">
        <v>2.655678763328654E-2</v>
      </c>
      <c r="F19" s="17">
        <v>2.3180025684598916E-2</v>
      </c>
      <c r="G19" s="17">
        <v>1.9645949798973515E-2</v>
      </c>
      <c r="H19" s="23">
        <f t="shared" si="0"/>
        <v>-0.18181818181818202</v>
      </c>
      <c r="I19" s="23">
        <f t="shared" si="1"/>
        <v>-0.34009090909090944</v>
      </c>
      <c r="J19" s="23">
        <f t="shared" si="2"/>
        <v>-0.51181818181818195</v>
      </c>
      <c r="K19" s="28"/>
      <c r="L19" s="30"/>
    </row>
    <row r="20" spans="1:12" ht="17.399999999999999" x14ac:dyDescent="0.25">
      <c r="A20" s="13" t="s">
        <v>47</v>
      </c>
      <c r="B20" s="17">
        <f>B11+B12+B13+B14+B17</f>
        <v>0.33705654646527827</v>
      </c>
      <c r="C20" s="17">
        <f t="shared" ref="C20:G20" si="3">C11+C12+C13+C14+C17</f>
        <v>0.34996516939988376</v>
      </c>
      <c r="D20" s="17">
        <f t="shared" si="3"/>
        <v>0.37378406954955279</v>
      </c>
      <c r="E20" s="17">
        <f t="shared" si="3"/>
        <v>0.39350505379604228</v>
      </c>
      <c r="F20" s="17">
        <f t="shared" si="3"/>
        <v>0.4108792017236752</v>
      </c>
      <c r="G20" s="17">
        <f t="shared" si="3"/>
        <v>0.43034855000907946</v>
      </c>
      <c r="H20" s="23">
        <f t="shared" si="0"/>
        <v>3.8298092916392176E-2</v>
      </c>
      <c r="I20" s="23">
        <f t="shared" si="1"/>
        <v>0.16747488788673928</v>
      </c>
      <c r="J20" s="23">
        <f t="shared" si="2"/>
        <v>0.27678442837606065</v>
      </c>
      <c r="K20" s="25"/>
      <c r="L20" s="25"/>
    </row>
    <row r="21" spans="1:12" ht="14.4" x14ac:dyDescent="0.3">
      <c r="A21"/>
    </row>
    <row r="22" spans="1:12" s="9" customFormat="1" ht="14.4" x14ac:dyDescent="0.3">
      <c r="A22"/>
      <c r="K22" s="10"/>
      <c r="L22" s="10"/>
    </row>
    <row r="23" spans="1:12" ht="14.4" x14ac:dyDescent="0.3">
      <c r="A23"/>
    </row>
  </sheetData>
  <mergeCells count="2">
    <mergeCell ref="K18:K19"/>
    <mergeCell ref="L18:L19"/>
  </mergeCells>
  <hyperlinks>
    <hyperlink ref="A1" location="Contenido!A1" display="Contenido" xr:uid="{BD27B5E0-54EA-4ADC-A985-5818923FF28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3394-9627-4442-B3AC-01B9EBFCD121}">
  <sheetPr>
    <tabColor rgb="FFD18316"/>
  </sheetPr>
  <dimension ref="A1:L22"/>
  <sheetViews>
    <sheetView zoomScale="70" zoomScaleNormal="70" workbookViewId="0">
      <selection activeCell="K1" sqref="K1:L104857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2" x14ac:dyDescent="0.25">
      <c r="A1" s="1" t="s">
        <v>0</v>
      </c>
    </row>
    <row r="2" spans="1:12" x14ac:dyDescent="0.25">
      <c r="A2" s="1"/>
    </row>
    <row r="3" spans="1:12" ht="15.6" x14ac:dyDescent="0.3">
      <c r="A3" s="4" t="s">
        <v>6</v>
      </c>
    </row>
    <row r="4" spans="1:12" x14ac:dyDescent="0.25">
      <c r="A4" s="14" t="s">
        <v>20</v>
      </c>
      <c r="B4" s="15" t="s">
        <v>21</v>
      </c>
      <c r="C4" s="15" t="s">
        <v>22</v>
      </c>
      <c r="D4" s="15" t="s">
        <v>23</v>
      </c>
      <c r="E4" s="15" t="s">
        <v>24</v>
      </c>
      <c r="F4" s="15" t="s">
        <v>25</v>
      </c>
      <c r="G4" s="16" t="s">
        <v>26</v>
      </c>
      <c r="H4" s="20" t="s">
        <v>27</v>
      </c>
      <c r="I4" s="20" t="s">
        <v>28</v>
      </c>
      <c r="J4" s="20" t="s">
        <v>29</v>
      </c>
      <c r="K4" s="21" t="s">
        <v>30</v>
      </c>
      <c r="L4" s="22" t="s">
        <v>31</v>
      </c>
    </row>
    <row r="5" spans="1:12" x14ac:dyDescent="0.25">
      <c r="A5" s="13" t="s">
        <v>32</v>
      </c>
      <c r="B5" s="17">
        <v>5.6956554035131086</v>
      </c>
      <c r="C5" s="17">
        <v>5.204768276659042</v>
      </c>
      <c r="D5" s="17">
        <v>5.0411815522837902</v>
      </c>
      <c r="E5" s="17">
        <v>4.8938429806916002</v>
      </c>
      <c r="F5" s="17">
        <v>4.7857624571088362</v>
      </c>
      <c r="G5" s="17">
        <v>4.6303732417359296</v>
      </c>
      <c r="H5" s="23">
        <f>+(C5-B5)/B5</f>
        <v>-8.6186240577561107E-2</v>
      </c>
      <c r="I5" s="23">
        <f>(E5-B5)/B5</f>
        <v>-0.1407761470834325</v>
      </c>
      <c r="J5" s="23">
        <f>(G5-B5)/B5</f>
        <v>-0.18703416662463598</v>
      </c>
      <c r="K5" s="24">
        <v>1</v>
      </c>
      <c r="L5" s="24">
        <v>3.5</v>
      </c>
    </row>
    <row r="6" spans="1:12" x14ac:dyDescent="0.25">
      <c r="A6" s="13" t="s">
        <v>33</v>
      </c>
      <c r="B6" s="17">
        <v>0.61018674056141753</v>
      </c>
      <c r="C6" s="17">
        <v>0.58781965881223497</v>
      </c>
      <c r="D6" s="17">
        <v>0.58562588922677605</v>
      </c>
      <c r="E6" s="17">
        <v>0.58662712528930527</v>
      </c>
      <c r="F6" s="17">
        <v>0.58836513987315964</v>
      </c>
      <c r="G6" s="17">
        <v>0.58726662031509635</v>
      </c>
      <c r="H6" s="23">
        <f t="shared" ref="H6:H20" si="0">+(C6-B6)/B6</f>
        <v>-3.6656125514302668E-2</v>
      </c>
      <c r="I6" s="23">
        <f t="shared" ref="I6:I20" si="1">(E6-B6)/B6</f>
        <v>-3.8610500205946204E-2</v>
      </c>
      <c r="J6" s="23">
        <f t="shared" ref="J6:J20" si="2">(G6-B6)/B6</f>
        <v>-3.7562468540750238E-2</v>
      </c>
      <c r="K6" s="24">
        <v>0.1</v>
      </c>
      <c r="L6" s="24">
        <v>0.27300000000000002</v>
      </c>
    </row>
    <row r="7" spans="1:12" ht="17.399999999999999" x14ac:dyDescent="0.25">
      <c r="A7" s="13" t="s">
        <v>34</v>
      </c>
      <c r="B7" s="17">
        <v>0.49297078815026435</v>
      </c>
      <c r="C7" s="17">
        <v>0.45498574519017204</v>
      </c>
      <c r="D7" s="17">
        <v>0.45984380525280844</v>
      </c>
      <c r="E7" s="17">
        <v>0.46439114816476046</v>
      </c>
      <c r="F7" s="17">
        <v>0.48085938766754222</v>
      </c>
      <c r="G7" s="17">
        <v>0.47634836083879356</v>
      </c>
      <c r="H7" s="23">
        <f t="shared" si="0"/>
        <v>-7.7053334341818935E-2</v>
      </c>
      <c r="I7" s="23">
        <f t="shared" si="1"/>
        <v>-5.7974307347380634E-2</v>
      </c>
      <c r="J7" s="23">
        <f t="shared" si="2"/>
        <v>-3.3718889051908778E-2</v>
      </c>
      <c r="K7" s="25"/>
      <c r="L7" s="25"/>
    </row>
    <row r="8" spans="1:12" x14ac:dyDescent="0.25">
      <c r="A8" s="13" t="s">
        <v>35</v>
      </c>
      <c r="B8" s="17">
        <v>0.41898317862530204</v>
      </c>
      <c r="C8" s="17">
        <v>0.3651676048758391</v>
      </c>
      <c r="D8" s="17">
        <v>0.35429642496069297</v>
      </c>
      <c r="E8" s="17">
        <v>0.33658299529736901</v>
      </c>
      <c r="F8" s="17">
        <v>0.32279117069014507</v>
      </c>
      <c r="G8" s="17">
        <v>0.30649440141838075</v>
      </c>
      <c r="H8" s="23">
        <f t="shared" si="0"/>
        <v>-0.12844328005251585</v>
      </c>
      <c r="I8" s="23">
        <f t="shared" si="1"/>
        <v>-0.19666704424337705</v>
      </c>
      <c r="J8" s="23">
        <f t="shared" si="2"/>
        <v>-0.26848041388201022</v>
      </c>
      <c r="K8" s="24">
        <v>0.06</v>
      </c>
      <c r="L8" s="24">
        <v>0.20300000000000001</v>
      </c>
    </row>
    <row r="9" spans="1:12" ht="17.399999999999999" x14ac:dyDescent="0.25">
      <c r="A9" s="13" t="s">
        <v>36</v>
      </c>
      <c r="B9" s="17">
        <v>2.4831834845118225E-3</v>
      </c>
      <c r="C9" s="17">
        <v>2.1079580614808357E-3</v>
      </c>
      <c r="D9" s="17">
        <v>1.949150530214821E-3</v>
      </c>
      <c r="E9" s="17">
        <v>1.7968437460724916E-3</v>
      </c>
      <c r="F9" s="17">
        <v>1.6316466428426769E-3</v>
      </c>
      <c r="G9" s="17">
        <v>1.4579627493598558E-3</v>
      </c>
      <c r="H9" s="23">
        <f t="shared" si="0"/>
        <v>-0.15110660382986305</v>
      </c>
      <c r="I9" s="23">
        <f t="shared" si="1"/>
        <v>-0.27639509634313664</v>
      </c>
      <c r="J9" s="23">
        <f t="shared" si="2"/>
        <v>-0.41286547753981956</v>
      </c>
      <c r="K9" s="25"/>
      <c r="L9" s="25"/>
    </row>
    <row r="10" spans="1:12" ht="17.399999999999999" x14ac:dyDescent="0.25">
      <c r="A10" s="13" t="s">
        <v>37</v>
      </c>
      <c r="B10" s="17">
        <v>7.2999262317870531E-2</v>
      </c>
      <c r="C10" s="17">
        <v>7.1553732370981976E-2</v>
      </c>
      <c r="D10" s="17">
        <v>7.1893431908500796E-2</v>
      </c>
      <c r="E10" s="17">
        <v>7.2702205913784901E-2</v>
      </c>
      <c r="F10" s="17">
        <v>7.3271021947885567E-2</v>
      </c>
      <c r="G10" s="17">
        <v>7.3743710240518109E-2</v>
      </c>
      <c r="H10" s="23">
        <f t="shared" si="0"/>
        <v>-1.9801980198020201E-2</v>
      </c>
      <c r="I10" s="23">
        <f t="shared" si="1"/>
        <v>-4.0693069306935899E-3</v>
      </c>
      <c r="J10" s="23">
        <f t="shared" si="2"/>
        <v>1.0198019801980035E-2</v>
      </c>
      <c r="K10" s="25"/>
      <c r="L10" s="25"/>
    </row>
    <row r="11" spans="1:12" ht="17.399999999999999" x14ac:dyDescent="0.25">
      <c r="A11" s="13" t="s">
        <v>38</v>
      </c>
      <c r="B11" s="17">
        <v>3.8295818796980296E-3</v>
      </c>
      <c r="C11" s="17">
        <v>3.6332756209777536E-3</v>
      </c>
      <c r="D11" s="17">
        <v>3.5911353771916226E-3</v>
      </c>
      <c r="E11" s="17">
        <v>3.5663559707895358E-3</v>
      </c>
      <c r="F11" s="17">
        <v>3.5526202469461543E-3</v>
      </c>
      <c r="G11" s="17">
        <v>3.5155152474054944E-3</v>
      </c>
      <c r="H11" s="23">
        <f t="shared" si="0"/>
        <v>-5.1260493935634324E-2</v>
      </c>
      <c r="I11" s="23">
        <f t="shared" si="1"/>
        <v>-6.8734895134100041E-2</v>
      </c>
      <c r="J11" s="23">
        <f t="shared" si="2"/>
        <v>-8.2010684758436342E-2</v>
      </c>
      <c r="K11" s="25"/>
      <c r="L11" s="25"/>
    </row>
    <row r="12" spans="1:12" ht="17.399999999999999" x14ac:dyDescent="0.25">
      <c r="A12" s="13" t="s">
        <v>39</v>
      </c>
      <c r="B12" s="17">
        <v>7.5970735637124961E-3</v>
      </c>
      <c r="C12" s="17">
        <v>1.2793619040101798E-2</v>
      </c>
      <c r="D12" s="17">
        <v>1.9482952682058116E-2</v>
      </c>
      <c r="E12" s="17">
        <v>2.6543503619541053E-2</v>
      </c>
      <c r="F12" s="17">
        <v>3.0331108341303103E-2</v>
      </c>
      <c r="G12" s="17">
        <v>3.5839487014948483E-2</v>
      </c>
      <c r="H12" s="23">
        <f t="shared" si="0"/>
        <v>0.6840193704600489</v>
      </c>
      <c r="I12" s="23">
        <f t="shared" si="1"/>
        <v>2.4939116222760283</v>
      </c>
      <c r="J12" s="23">
        <f t="shared" si="2"/>
        <v>3.7175384987893469</v>
      </c>
      <c r="K12" s="25"/>
      <c r="L12" s="25"/>
    </row>
    <row r="13" spans="1:12" ht="17.399999999999999" x14ac:dyDescent="0.25">
      <c r="A13" s="13" t="s">
        <v>40</v>
      </c>
      <c r="B13" s="17">
        <v>2.2731703770824178E-2</v>
      </c>
      <c r="C13" s="17">
        <v>2.5762597606934081E-2</v>
      </c>
      <c r="D13" s="17">
        <v>3.0250846229240125E-2</v>
      </c>
      <c r="E13" s="17">
        <v>3.1692288822796726E-2</v>
      </c>
      <c r="F13" s="17">
        <v>3.5060167538584756E-2</v>
      </c>
      <c r="G13" s="17">
        <v>3.8166985265289194E-2</v>
      </c>
      <c r="H13" s="23">
        <f t="shared" si="0"/>
        <v>0.13333333333333391</v>
      </c>
      <c r="I13" s="23">
        <f t="shared" si="1"/>
        <v>0.39418888888888887</v>
      </c>
      <c r="J13" s="23">
        <f t="shared" si="2"/>
        <v>0.67901999999999929</v>
      </c>
      <c r="K13" s="25"/>
      <c r="L13" s="25"/>
    </row>
    <row r="14" spans="1:12" ht="17.399999999999999" x14ac:dyDescent="0.25">
      <c r="A14" s="13" t="s">
        <v>41</v>
      </c>
      <c r="B14" s="17">
        <v>1.1702284736591153E-2</v>
      </c>
      <c r="C14" s="17">
        <v>1.0655764555248737E-2</v>
      </c>
      <c r="D14" s="17">
        <v>1.0487104716993786E-2</v>
      </c>
      <c r="E14" s="17">
        <v>1.0400026205922766E-2</v>
      </c>
      <c r="F14" s="17">
        <v>9.9461278034783211E-3</v>
      </c>
      <c r="G14" s="17">
        <v>9.6251461260071728E-3</v>
      </c>
      <c r="H14" s="23">
        <f t="shared" si="0"/>
        <v>-8.9428706009016853E-2</v>
      </c>
      <c r="I14" s="23">
        <f t="shared" si="1"/>
        <v>-0.11128241706480056</v>
      </c>
      <c r="J14" s="23">
        <f t="shared" si="2"/>
        <v>-0.17749855326021111</v>
      </c>
      <c r="K14" s="25"/>
      <c r="L14" s="25"/>
    </row>
    <row r="15" spans="1:12" x14ac:dyDescent="0.25">
      <c r="A15" s="13" t="s">
        <v>42</v>
      </c>
      <c r="B15" s="17">
        <v>216.51454670115447</v>
      </c>
      <c r="C15" s="17">
        <v>205.68881936609688</v>
      </c>
      <c r="D15" s="17">
        <v>201.5533915241048</v>
      </c>
      <c r="E15" s="17">
        <v>199.50701975128351</v>
      </c>
      <c r="F15" s="17">
        <v>198.3798742959257</v>
      </c>
      <c r="G15" s="17">
        <v>194.72316281808719</v>
      </c>
      <c r="H15" s="23">
        <f t="shared" si="0"/>
        <v>-4.9999999999999399E-2</v>
      </c>
      <c r="I15" s="23">
        <f t="shared" si="1"/>
        <v>-7.8551428571428536E-2</v>
      </c>
      <c r="J15" s="23">
        <f t="shared" si="2"/>
        <v>-0.10064628088543619</v>
      </c>
      <c r="K15" s="24">
        <v>95</v>
      </c>
      <c r="L15" s="24">
        <v>255</v>
      </c>
    </row>
    <row r="16" spans="1:12" ht="17.399999999999999" x14ac:dyDescent="0.25">
      <c r="A16" s="13" t="s">
        <v>43</v>
      </c>
      <c r="B16" s="17">
        <v>3.4025275071455775E-3</v>
      </c>
      <c r="C16" s="17">
        <v>3.3705076841461902E-3</v>
      </c>
      <c r="D16" s="17">
        <v>3.3868546464142974E-3</v>
      </c>
      <c r="E16" s="17">
        <v>3.4567690873065432E-3</v>
      </c>
      <c r="F16" s="17">
        <v>3.4951895043981267E-3</v>
      </c>
      <c r="G16" s="17">
        <v>3.5348570093328424E-3</v>
      </c>
      <c r="H16" s="23">
        <f t="shared" si="0"/>
        <v>-9.4105993065869732E-3</v>
      </c>
      <c r="I16" s="23">
        <f t="shared" si="1"/>
        <v>1.5941555225359415E-2</v>
      </c>
      <c r="J16" s="23">
        <f t="shared" si="2"/>
        <v>3.8891530460624477E-2</v>
      </c>
      <c r="K16" s="25"/>
      <c r="L16" s="25"/>
    </row>
    <row r="17" spans="1:12" ht="17.399999999999999" x14ac:dyDescent="0.25">
      <c r="A17" s="13" t="s">
        <v>44</v>
      </c>
      <c r="B17" s="17">
        <v>0.13437294005063205</v>
      </c>
      <c r="C17" s="17">
        <v>0.13437294005063205</v>
      </c>
      <c r="D17" s="17">
        <v>0.13638853415139154</v>
      </c>
      <c r="E17" s="17">
        <v>0.13934473883250545</v>
      </c>
      <c r="F17" s="17">
        <v>0.14189782469346748</v>
      </c>
      <c r="G17" s="17">
        <v>0.14431653761437885</v>
      </c>
      <c r="H17" s="23">
        <f t="shared" si="0"/>
        <v>0</v>
      </c>
      <c r="I17" s="23">
        <f t="shared" si="1"/>
        <v>3.7000000000000095E-2</v>
      </c>
      <c r="J17" s="23">
        <f t="shared" si="2"/>
        <v>7.4000000000000191E-2</v>
      </c>
      <c r="K17" s="25"/>
      <c r="L17" s="25"/>
    </row>
    <row r="18" spans="1:12" x14ac:dyDescent="0.25">
      <c r="A18" s="13" t="s">
        <v>45</v>
      </c>
      <c r="B18" s="17">
        <v>1.2481012068411016E-2</v>
      </c>
      <c r="C18" s="17">
        <v>1.021173714688174E-2</v>
      </c>
      <c r="D18" s="17">
        <v>9.213256181408858E-3</v>
      </c>
      <c r="E18" s="17">
        <v>8.2363333276905051E-3</v>
      </c>
      <c r="F18" s="17">
        <v>7.1890629514047453E-3</v>
      </c>
      <c r="G18" s="17">
        <v>6.0930031643061065E-3</v>
      </c>
      <c r="H18" s="23">
        <f t="shared" si="0"/>
        <v>-0.18181818181818188</v>
      </c>
      <c r="I18" s="23">
        <f t="shared" si="1"/>
        <v>-0.34009090909090917</v>
      </c>
      <c r="J18" s="23">
        <f t="shared" si="2"/>
        <v>-0.51181818181818173</v>
      </c>
      <c r="K18" s="27">
        <v>5.0000000000000001E-3</v>
      </c>
      <c r="L18" s="29">
        <v>7.0000000000000001E-3</v>
      </c>
    </row>
    <row r="19" spans="1:12" s="9" customFormat="1" x14ac:dyDescent="0.25">
      <c r="A19" s="13" t="s">
        <v>46</v>
      </c>
      <c r="B19" s="17">
        <v>8.8960501464305838E-3</v>
      </c>
      <c r="C19" s="17">
        <v>7.2785864834432048E-3</v>
      </c>
      <c r="D19" s="17">
        <v>6.5669024717287562E-3</v>
      </c>
      <c r="E19" s="17">
        <v>5.8705843648126895E-3</v>
      </c>
      <c r="F19" s="17">
        <v>5.1241248843440146E-3</v>
      </c>
      <c r="G19" s="17">
        <v>4.3428899351211107E-3</v>
      </c>
      <c r="H19" s="23">
        <f t="shared" si="0"/>
        <v>-0.18181818181818182</v>
      </c>
      <c r="I19" s="23">
        <f t="shared" si="1"/>
        <v>-0.34009090909090933</v>
      </c>
      <c r="J19" s="23">
        <f t="shared" si="2"/>
        <v>-0.51181818181818195</v>
      </c>
      <c r="K19" s="28"/>
      <c r="L19" s="30"/>
    </row>
    <row r="20" spans="1:12" ht="17.399999999999999" x14ac:dyDescent="0.25">
      <c r="A20" s="13" t="s">
        <v>47</v>
      </c>
      <c r="B20" s="17">
        <f>B11+B12+B13+B14+B17</f>
        <v>0.18023358400145789</v>
      </c>
      <c r="C20" s="17">
        <f t="shared" ref="C20:G20" si="3">C11+C12+C13+C14+C17</f>
        <v>0.1872181968738944</v>
      </c>
      <c r="D20" s="17">
        <f t="shared" si="3"/>
        <v>0.20020057315687517</v>
      </c>
      <c r="E20" s="17">
        <f t="shared" si="3"/>
        <v>0.21154691345155552</v>
      </c>
      <c r="F20" s="17">
        <f t="shared" si="3"/>
        <v>0.22078784862377981</v>
      </c>
      <c r="G20" s="17">
        <f t="shared" si="3"/>
        <v>0.23146367126802919</v>
      </c>
      <c r="H20" s="23">
        <f t="shared" si="0"/>
        <v>3.875311535934399E-2</v>
      </c>
      <c r="I20" s="23">
        <f t="shared" si="1"/>
        <v>0.17373748418521343</v>
      </c>
      <c r="J20" s="23">
        <f t="shared" si="2"/>
        <v>0.28424273728117677</v>
      </c>
      <c r="K20" s="25"/>
      <c r="L20" s="25"/>
    </row>
    <row r="21" spans="1:12" ht="14.4" x14ac:dyDescent="0.3">
      <c r="A21"/>
    </row>
    <row r="22" spans="1:12" s="9" customFormat="1" ht="14.4" x14ac:dyDescent="0.3">
      <c r="A22"/>
      <c r="K22" s="10"/>
      <c r="L22" s="10"/>
    </row>
  </sheetData>
  <mergeCells count="2">
    <mergeCell ref="K18:K19"/>
    <mergeCell ref="L18:L19"/>
  </mergeCells>
  <hyperlinks>
    <hyperlink ref="A1" location="Contenido!A1" display="Contenido" xr:uid="{1B65EE24-F409-42E2-95F5-127CF8E6B68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C0A-4FB3-4365-B47D-E6861740386D}">
  <sheetPr>
    <tabColor rgb="FFD18316"/>
  </sheetPr>
  <dimension ref="A1:L22"/>
  <sheetViews>
    <sheetView zoomScale="70" zoomScaleNormal="70" workbookViewId="0">
      <selection activeCell="K1" sqref="K1:L104857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2" x14ac:dyDescent="0.25">
      <c r="A1" s="1" t="s">
        <v>0</v>
      </c>
    </row>
    <row r="2" spans="1:12" x14ac:dyDescent="0.25">
      <c r="A2" s="1"/>
    </row>
    <row r="3" spans="1:12" ht="15.6" x14ac:dyDescent="0.3">
      <c r="A3" s="4" t="s">
        <v>7</v>
      </c>
    </row>
    <row r="4" spans="1:12" x14ac:dyDescent="0.25">
      <c r="A4" s="14" t="s">
        <v>20</v>
      </c>
      <c r="B4" s="15" t="s">
        <v>21</v>
      </c>
      <c r="C4" s="15" t="s">
        <v>22</v>
      </c>
      <c r="D4" s="15" t="s">
        <v>23</v>
      </c>
      <c r="E4" s="15" t="s">
        <v>24</v>
      </c>
      <c r="F4" s="15" t="s">
        <v>25</v>
      </c>
      <c r="G4" s="16" t="s">
        <v>26</v>
      </c>
      <c r="H4" s="20" t="s">
        <v>27</v>
      </c>
      <c r="I4" s="20" t="s">
        <v>28</v>
      </c>
      <c r="J4" s="20" t="s">
        <v>29</v>
      </c>
      <c r="K4" s="21" t="s">
        <v>30</v>
      </c>
      <c r="L4" s="22" t="s">
        <v>31</v>
      </c>
    </row>
    <row r="5" spans="1:12" x14ac:dyDescent="0.25">
      <c r="A5" s="13" t="s">
        <v>32</v>
      </c>
      <c r="B5" s="17">
        <v>6.5801011732067094</v>
      </c>
      <c r="C5" s="17">
        <v>5.9401865978923727</v>
      </c>
      <c r="D5" s="17">
        <v>5.7142666003429357</v>
      </c>
      <c r="E5" s="17">
        <v>5.5036146913872779</v>
      </c>
      <c r="F5" s="17">
        <v>5.346673164157548</v>
      </c>
      <c r="G5" s="17">
        <v>5.1194564964188292</v>
      </c>
      <c r="H5" s="23">
        <f>+(C5-B5)/B5</f>
        <v>-9.7249959912468084E-2</v>
      </c>
      <c r="I5" s="23">
        <f>(E5-B5)/B5</f>
        <v>-0.16359725382380749</v>
      </c>
      <c r="J5" s="23">
        <f>(G5-B5)/B5</f>
        <v>-0.22197906055539537</v>
      </c>
      <c r="K5" s="24">
        <v>1</v>
      </c>
      <c r="L5" s="24">
        <v>3.5</v>
      </c>
    </row>
    <row r="6" spans="1:12" x14ac:dyDescent="0.25">
      <c r="A6" s="13" t="s">
        <v>33</v>
      </c>
      <c r="B6" s="17">
        <v>0.84816546470032583</v>
      </c>
      <c r="C6" s="17">
        <v>0.7892248959007474</v>
      </c>
      <c r="D6" s="17">
        <v>0.77204748578334603</v>
      </c>
      <c r="E6" s="17">
        <v>0.75797102017225149</v>
      </c>
      <c r="F6" s="17">
        <v>0.74811537549861562</v>
      </c>
      <c r="G6" s="17">
        <v>0.73154481065115484</v>
      </c>
      <c r="H6" s="23">
        <f t="shared" ref="H6:H20" si="0">+(C6-B6)/B6</f>
        <v>-6.9491828248870444E-2</v>
      </c>
      <c r="I6" s="23">
        <f t="shared" ref="I6:I20" si="1">(E6-B6)/B6</f>
        <v>-0.10634062371301793</v>
      </c>
      <c r="J6" s="23">
        <f t="shared" ref="J6:J20" si="2">(G6-B6)/B6</f>
        <v>-0.13749752719579952</v>
      </c>
      <c r="K6" s="24">
        <v>0.1</v>
      </c>
      <c r="L6" s="24">
        <v>0.27300000000000002</v>
      </c>
    </row>
    <row r="7" spans="1:12" ht="17.399999999999999" x14ac:dyDescent="0.25">
      <c r="A7" s="13" t="s">
        <v>34</v>
      </c>
      <c r="B7" s="17">
        <v>0.49297078815026435</v>
      </c>
      <c r="C7" s="17">
        <v>0.45498574519017204</v>
      </c>
      <c r="D7" s="17">
        <v>0.45984380525280844</v>
      </c>
      <c r="E7" s="17">
        <v>0.46439114816476046</v>
      </c>
      <c r="F7" s="17">
        <v>0.48085938766754222</v>
      </c>
      <c r="G7" s="17">
        <v>0.47634836083879356</v>
      </c>
      <c r="H7" s="23">
        <f t="shared" si="0"/>
        <v>-7.7053334341818935E-2</v>
      </c>
      <c r="I7" s="23">
        <f t="shared" si="1"/>
        <v>-5.7974307347380634E-2</v>
      </c>
      <c r="J7" s="23">
        <f t="shared" si="2"/>
        <v>-3.3718889051908778E-2</v>
      </c>
      <c r="K7" s="25"/>
      <c r="L7" s="25"/>
    </row>
    <row r="8" spans="1:12" x14ac:dyDescent="0.25">
      <c r="A8" s="13" t="s">
        <v>35</v>
      </c>
      <c r="B8" s="17">
        <v>0.45366612215731195</v>
      </c>
      <c r="C8" s="17">
        <v>0.39468952627686132</v>
      </c>
      <c r="D8" s="17">
        <v>0.38219102461142729</v>
      </c>
      <c r="E8" s="17">
        <v>0.36224786188139196</v>
      </c>
      <c r="F8" s="17">
        <v>0.34652833074864114</v>
      </c>
      <c r="G8" s="17">
        <v>0.32807319289928166</v>
      </c>
      <c r="H8" s="23">
        <f t="shared" si="0"/>
        <v>-0.13000000000000014</v>
      </c>
      <c r="I8" s="23">
        <f t="shared" si="1"/>
        <v>-0.20151000000000011</v>
      </c>
      <c r="J8" s="23">
        <f t="shared" si="2"/>
        <v>-0.27684000000000009</v>
      </c>
      <c r="K8" s="24">
        <v>0.06</v>
      </c>
      <c r="L8" s="24">
        <v>0.20300000000000001</v>
      </c>
    </row>
    <row r="9" spans="1:12" ht="17.399999999999999" x14ac:dyDescent="0.25">
      <c r="A9" s="13" t="s">
        <v>36</v>
      </c>
      <c r="B9" s="17">
        <v>1.62946723375401E-3</v>
      </c>
      <c r="C9" s="17">
        <v>1.3832439740093998E-3</v>
      </c>
      <c r="D9" s="17">
        <v>1.2790343292991501E-3</v>
      </c>
      <c r="E9" s="17">
        <v>1.1790904806925852E-3</v>
      </c>
      <c r="F9" s="17">
        <v>1.0706879931184623E-3</v>
      </c>
      <c r="G9" s="17">
        <v>9.5671646615467154E-4</v>
      </c>
      <c r="H9" s="23">
        <f t="shared" si="0"/>
        <v>-0.15110660382986316</v>
      </c>
      <c r="I9" s="23">
        <f t="shared" si="1"/>
        <v>-0.27639509634313719</v>
      </c>
      <c r="J9" s="23">
        <f t="shared" si="2"/>
        <v>-0.41286547753981978</v>
      </c>
      <c r="K9" s="25"/>
      <c r="L9" s="25"/>
    </row>
    <row r="10" spans="1:12" ht="17.399999999999999" x14ac:dyDescent="0.25">
      <c r="A10" s="13" t="s">
        <v>37</v>
      </c>
      <c r="B10" s="17">
        <v>6.0905109890533021E-2</v>
      </c>
      <c r="C10" s="17">
        <v>5.9699068110522474E-2</v>
      </c>
      <c r="D10" s="17">
        <v>5.9982487928824942E-2</v>
      </c>
      <c r="E10" s="17">
        <v>6.0657268304740858E-2</v>
      </c>
      <c r="F10" s="17">
        <v>6.1131845745175009E-2</v>
      </c>
      <c r="G10" s="17">
        <v>6.1526221407238471E-2</v>
      </c>
      <c r="H10" s="23">
        <f t="shared" si="0"/>
        <v>-1.9801980198019677E-2</v>
      </c>
      <c r="I10" s="23">
        <f t="shared" si="1"/>
        <v>-4.0693069306929775E-3</v>
      </c>
      <c r="J10" s="23">
        <f t="shared" si="2"/>
        <v>1.0198019801980429E-2</v>
      </c>
      <c r="K10" s="25"/>
      <c r="L10" s="25"/>
    </row>
    <row r="11" spans="1:12" ht="17.399999999999999" x14ac:dyDescent="0.25">
      <c r="A11" s="13" t="s">
        <v>38</v>
      </c>
      <c r="B11" s="17">
        <v>8.6247014268990181E-3</v>
      </c>
      <c r="C11" s="17">
        <v>7.9853960654339487E-3</v>
      </c>
      <c r="D11" s="17">
        <v>7.7904541190696938E-3</v>
      </c>
      <c r="E11" s="17">
        <v>7.6251217783790959E-3</v>
      </c>
      <c r="F11" s="17">
        <v>7.5072960918593406E-3</v>
      </c>
      <c r="G11" s="17">
        <v>7.317211303764678E-3</v>
      </c>
      <c r="H11" s="23">
        <f t="shared" si="0"/>
        <v>-7.4124926744847261E-2</v>
      </c>
      <c r="I11" s="23">
        <f t="shared" si="1"/>
        <v>-0.11589730461884727</v>
      </c>
      <c r="J11" s="23">
        <f t="shared" si="2"/>
        <v>-0.15159830565919588</v>
      </c>
      <c r="K11" s="25"/>
      <c r="L11" s="25"/>
    </row>
    <row r="12" spans="1:12" ht="17.399999999999999" x14ac:dyDescent="0.25">
      <c r="A12" s="13" t="s">
        <v>39</v>
      </c>
      <c r="B12" s="17">
        <v>2.1835912061848286E-2</v>
      </c>
      <c r="C12" s="17">
        <v>3.677209888381474E-2</v>
      </c>
      <c r="D12" s="17">
        <v>5.5998936683018807E-2</v>
      </c>
      <c r="E12" s="17">
        <v>7.6292746935889041E-2</v>
      </c>
      <c r="F12" s="17">
        <v>8.7179281459456401E-2</v>
      </c>
      <c r="G12" s="17">
        <v>0.10301175580794796</v>
      </c>
      <c r="H12" s="23">
        <f t="shared" si="0"/>
        <v>0.6840193704600489</v>
      </c>
      <c r="I12" s="23">
        <f t="shared" si="1"/>
        <v>2.4939116222760283</v>
      </c>
      <c r="J12" s="23">
        <f t="shared" si="2"/>
        <v>3.7175384987893469</v>
      </c>
      <c r="K12" s="25"/>
      <c r="L12" s="25"/>
    </row>
    <row r="13" spans="1:12" ht="17.399999999999999" x14ac:dyDescent="0.25">
      <c r="A13" s="13" t="s">
        <v>40</v>
      </c>
      <c r="B13" s="17">
        <v>8.6833063696353283E-2</v>
      </c>
      <c r="C13" s="17">
        <v>9.8410805522533673E-2</v>
      </c>
      <c r="D13" s="17">
        <v>0.11555551154346919</v>
      </c>
      <c r="E13" s="17">
        <v>0.12106169259363689</v>
      </c>
      <c r="F13" s="17">
        <v>0.13392668634852478</v>
      </c>
      <c r="G13" s="17">
        <v>0.14579445060745105</v>
      </c>
      <c r="H13" s="23">
        <f t="shared" si="0"/>
        <v>0.13333333333333278</v>
      </c>
      <c r="I13" s="23">
        <f t="shared" si="1"/>
        <v>0.39418888888888876</v>
      </c>
      <c r="J13" s="23">
        <f t="shared" si="2"/>
        <v>0.67901999999999962</v>
      </c>
      <c r="K13" s="25"/>
      <c r="L13" s="25"/>
    </row>
    <row r="14" spans="1:12" ht="17.399999999999999" x14ac:dyDescent="0.25">
      <c r="A14" s="13" t="s">
        <v>41</v>
      </c>
      <c r="B14" s="17">
        <v>1.6885013020197823E-2</v>
      </c>
      <c r="C14" s="17">
        <v>1.5375008154856132E-2</v>
      </c>
      <c r="D14" s="17">
        <v>1.5131651953138136E-2</v>
      </c>
      <c r="E14" s="17">
        <v>1.5006007959139582E-2</v>
      </c>
      <c r="F14" s="17">
        <v>1.4351086240207455E-2</v>
      </c>
      <c r="G14" s="17">
        <v>1.3887947637332877E-2</v>
      </c>
      <c r="H14" s="23">
        <f t="shared" si="0"/>
        <v>-8.9428706009016756E-2</v>
      </c>
      <c r="I14" s="23">
        <f t="shared" si="1"/>
        <v>-0.11128241706480053</v>
      </c>
      <c r="J14" s="23">
        <f t="shared" si="2"/>
        <v>-0.17749855326021141</v>
      </c>
      <c r="K14" s="25"/>
      <c r="L14" s="25"/>
    </row>
    <row r="15" spans="1:12" x14ac:dyDescent="0.25">
      <c r="A15" s="13" t="s">
        <v>42</v>
      </c>
      <c r="B15" s="17">
        <v>142.73993994354095</v>
      </c>
      <c r="C15" s="17">
        <v>135.60294294636384</v>
      </c>
      <c r="D15" s="17">
        <v>132.87661009344225</v>
      </c>
      <c r="E15" s="17">
        <v>131.52751374677587</v>
      </c>
      <c r="F15" s="17">
        <v>130.90142265049965</v>
      </c>
      <c r="G15" s="17">
        <v>128.48853305486745</v>
      </c>
      <c r="H15" s="23">
        <f t="shared" si="0"/>
        <v>-5.0000000000000419E-2</v>
      </c>
      <c r="I15" s="23">
        <f t="shared" si="1"/>
        <v>-7.8551428571428702E-2</v>
      </c>
      <c r="J15" s="23">
        <f t="shared" si="2"/>
        <v>-9.9841760437271249E-2</v>
      </c>
      <c r="K15" s="24">
        <v>95</v>
      </c>
      <c r="L15" s="24">
        <v>255</v>
      </c>
    </row>
    <row r="16" spans="1:12" ht="17.399999999999999" x14ac:dyDescent="0.25">
      <c r="A16" s="13" t="s">
        <v>43</v>
      </c>
      <c r="B16" s="17">
        <v>3.6293369468011734E-3</v>
      </c>
      <c r="C16" s="17">
        <v>3.5951827110462333E-3</v>
      </c>
      <c r="D16" s="17">
        <v>3.6126193471948086E-3</v>
      </c>
      <c r="E16" s="17">
        <v>3.6871942221700406E-3</v>
      </c>
      <c r="F16" s="17">
        <v>3.7281757098932573E-3</v>
      </c>
      <c r="G16" s="17">
        <v>3.7704874152195596E-3</v>
      </c>
      <c r="H16" s="23">
        <f t="shared" si="0"/>
        <v>-9.4105993065876584E-3</v>
      </c>
      <c r="I16" s="23">
        <f t="shared" si="1"/>
        <v>1.594155522535912E-2</v>
      </c>
      <c r="J16" s="23">
        <f t="shared" si="2"/>
        <v>3.889153046062406E-2</v>
      </c>
      <c r="K16" s="25"/>
      <c r="L16" s="25"/>
    </row>
    <row r="17" spans="1:12" ht="17.399999999999999" x14ac:dyDescent="0.25">
      <c r="A17" s="13" t="s">
        <v>44</v>
      </c>
      <c r="B17" s="17">
        <v>0.21588434905526924</v>
      </c>
      <c r="C17" s="17">
        <v>0.21588434905526924</v>
      </c>
      <c r="D17" s="17">
        <v>0.21912261429109822</v>
      </c>
      <c r="E17" s="17">
        <v>0.22387206997031417</v>
      </c>
      <c r="F17" s="17">
        <v>0.22797387260236429</v>
      </c>
      <c r="G17" s="17">
        <v>0.23185979088535913</v>
      </c>
      <c r="H17" s="23">
        <f t="shared" si="0"/>
        <v>0</v>
      </c>
      <c r="I17" s="23">
        <f t="shared" si="1"/>
        <v>3.6999999999999866E-2</v>
      </c>
      <c r="J17" s="23">
        <f t="shared" si="2"/>
        <v>7.3999999999999858E-2</v>
      </c>
      <c r="K17" s="25"/>
      <c r="L17" s="25"/>
    </row>
    <row r="18" spans="1:12" x14ac:dyDescent="0.25">
      <c r="A18" s="13" t="s">
        <v>45</v>
      </c>
      <c r="B18" s="17">
        <v>1.0164601582829096E-2</v>
      </c>
      <c r="C18" s="17">
        <v>8.3164922041328981E-3</v>
      </c>
      <c r="D18" s="17">
        <v>7.5033240775065685E-3</v>
      </c>
      <c r="E18" s="17">
        <v>6.7077129899778534E-3</v>
      </c>
      <c r="F18" s="17">
        <v>5.854810511709556E-3</v>
      </c>
      <c r="G18" s="17">
        <v>4.9621736817992953E-3</v>
      </c>
      <c r="H18" s="23">
        <f t="shared" si="0"/>
        <v>-0.18181818181818171</v>
      </c>
      <c r="I18" s="23">
        <f t="shared" si="1"/>
        <v>-0.34009090909090928</v>
      </c>
      <c r="J18" s="23">
        <f t="shared" si="2"/>
        <v>-0.51181818181818184</v>
      </c>
      <c r="K18" s="27">
        <v>5.0000000000000001E-3</v>
      </c>
      <c r="L18" s="29">
        <v>7.0000000000000001E-3</v>
      </c>
    </row>
    <row r="19" spans="1:12" s="9" customFormat="1" x14ac:dyDescent="0.25">
      <c r="A19" s="13" t="s">
        <v>46</v>
      </c>
      <c r="B19" s="17">
        <v>5.6361252162922496E-2</v>
      </c>
      <c r="C19" s="17">
        <v>4.6113751769663869E-2</v>
      </c>
      <c r="D19" s="17">
        <v>4.1604851596630056E-2</v>
      </c>
      <c r="E19" s="17">
        <v>3.7193302677332209E-2</v>
      </c>
      <c r="F19" s="17">
        <v>3.2464081245843351E-2</v>
      </c>
      <c r="G19" s="17">
        <v>2.7514538555899425E-2</v>
      </c>
      <c r="H19" s="23">
        <f t="shared" si="0"/>
        <v>-0.18181818181818166</v>
      </c>
      <c r="I19" s="23">
        <f t="shared" si="1"/>
        <v>-0.34009090909090928</v>
      </c>
      <c r="J19" s="23">
        <f t="shared" si="2"/>
        <v>-0.51181818181818206</v>
      </c>
      <c r="K19" s="28"/>
      <c r="L19" s="30"/>
    </row>
    <row r="20" spans="1:12" ht="17.399999999999999" x14ac:dyDescent="0.25">
      <c r="A20" s="13" t="s">
        <v>47</v>
      </c>
      <c r="B20" s="17">
        <f>B11+B12+B13+B14+B17</f>
        <v>0.35006303926056764</v>
      </c>
      <c r="C20" s="17">
        <f t="shared" ref="C20:G20" si="3">C11+C12+C13+C14+C17</f>
        <v>0.37442765768190772</v>
      </c>
      <c r="D20" s="17">
        <f t="shared" si="3"/>
        <v>0.41359916858979406</v>
      </c>
      <c r="E20" s="17">
        <f t="shared" si="3"/>
        <v>0.44385763923735877</v>
      </c>
      <c r="F20" s="17">
        <f t="shared" si="3"/>
        <v>0.47093822274241226</v>
      </c>
      <c r="G20" s="17">
        <f t="shared" si="3"/>
        <v>0.50187115624185563</v>
      </c>
      <c r="H20" s="23">
        <f t="shared" si="0"/>
        <v>6.960065956350335E-2</v>
      </c>
      <c r="I20" s="23">
        <f t="shared" si="1"/>
        <v>0.2679363127707281</v>
      </c>
      <c r="J20" s="23">
        <f t="shared" si="2"/>
        <v>0.4336593697579435</v>
      </c>
      <c r="K20" s="25"/>
      <c r="L20" s="25"/>
    </row>
    <row r="21" spans="1:12" ht="14.4" x14ac:dyDescent="0.3">
      <c r="A21"/>
    </row>
    <row r="22" spans="1:12" s="9" customFormat="1" ht="14.4" x14ac:dyDescent="0.3">
      <c r="A22"/>
      <c r="K22" s="10"/>
      <c r="L22" s="10"/>
    </row>
  </sheetData>
  <mergeCells count="2">
    <mergeCell ref="K18:K19"/>
    <mergeCell ref="L18:L19"/>
  </mergeCells>
  <hyperlinks>
    <hyperlink ref="A1" location="Contenido!A1" display="Contenido" xr:uid="{B9C4AB3B-EA3C-4A96-9439-FCEAD807E8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C152-BD47-4B10-9F67-24AA12B6133E}">
  <sheetPr>
    <tabColor rgb="FFD18316"/>
  </sheetPr>
  <dimension ref="A1:L22"/>
  <sheetViews>
    <sheetView topLeftCell="A3" zoomScale="70" zoomScaleNormal="70" workbookViewId="0">
      <selection activeCell="K3" sqref="K1:L104857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2" x14ac:dyDescent="0.25">
      <c r="A1" s="1" t="s">
        <v>0</v>
      </c>
    </row>
    <row r="2" spans="1:12" x14ac:dyDescent="0.25">
      <c r="A2" s="1"/>
    </row>
    <row r="3" spans="1:12" ht="15.6" x14ac:dyDescent="0.3">
      <c r="A3" s="4" t="s">
        <v>8</v>
      </c>
    </row>
    <row r="4" spans="1:12" x14ac:dyDescent="0.25">
      <c r="A4" s="14" t="s">
        <v>20</v>
      </c>
      <c r="B4" s="15" t="s">
        <v>21</v>
      </c>
      <c r="C4" s="15" t="s">
        <v>22</v>
      </c>
      <c r="D4" s="15" t="s">
        <v>23</v>
      </c>
      <c r="E4" s="15" t="s">
        <v>24</v>
      </c>
      <c r="F4" s="15" t="s">
        <v>25</v>
      </c>
      <c r="G4" s="16" t="s">
        <v>26</v>
      </c>
      <c r="H4" s="20" t="s">
        <v>27</v>
      </c>
      <c r="I4" s="20" t="s">
        <v>28</v>
      </c>
      <c r="J4" s="20" t="s">
        <v>29</v>
      </c>
      <c r="K4" s="21" t="s">
        <v>30</v>
      </c>
      <c r="L4" s="22" t="s">
        <v>31</v>
      </c>
    </row>
    <row r="5" spans="1:12" x14ac:dyDescent="0.25">
      <c r="A5" s="13" t="s">
        <v>32</v>
      </c>
      <c r="B5" s="17">
        <v>8.8801969150915951</v>
      </c>
      <c r="C5" s="17">
        <v>7.8389412297782037</v>
      </c>
      <c r="D5" s="17">
        <v>7.4439268069017999</v>
      </c>
      <c r="E5" s="17">
        <v>7.0609686523421162</v>
      </c>
      <c r="F5" s="17">
        <v>6.7708873341320475</v>
      </c>
      <c r="G5" s="17">
        <v>6.4038041589044203</v>
      </c>
      <c r="H5" s="23">
        <f>+(C5-B5)/B5</f>
        <v>-0.1172559229563719</v>
      </c>
      <c r="I5" s="23">
        <f>(E5-B5)/B5</f>
        <v>-0.20486350473352249</v>
      </c>
      <c r="J5" s="23">
        <f>(G5-B5)/B5</f>
        <v>-0.2788668742219701</v>
      </c>
      <c r="K5" s="24">
        <v>1</v>
      </c>
      <c r="L5" s="24">
        <v>3.5</v>
      </c>
    </row>
    <row r="6" spans="1:12" x14ac:dyDescent="0.25">
      <c r="A6" s="13" t="s">
        <v>33</v>
      </c>
      <c r="B6" s="17">
        <v>0.8487451116879301</v>
      </c>
      <c r="C6" s="17">
        <v>0.7984287114053723</v>
      </c>
      <c r="D6" s="17">
        <v>0.78563494033517278</v>
      </c>
      <c r="E6" s="17">
        <v>0.77636116534926902</v>
      </c>
      <c r="F6" s="17">
        <v>0.77031657290814515</v>
      </c>
      <c r="G6" s="17">
        <v>0.75841490265145928</v>
      </c>
      <c r="H6" s="23">
        <f t="shared" ref="H6:H20" si="0">+(C6-B6)/B6</f>
        <v>-5.9283287278664554E-2</v>
      </c>
      <c r="I6" s="23">
        <f t="shared" ref="I6:I20" si="1">(E6-B6)/B6</f>
        <v>-8.5283491288342742E-2</v>
      </c>
      <c r="J6" s="23">
        <f t="shared" ref="J6:J20" si="2">(G6-B6)/B6</f>
        <v>-0.10642795792582282</v>
      </c>
      <c r="K6" s="24">
        <v>0.1</v>
      </c>
      <c r="L6" s="24">
        <v>0.27300000000000002</v>
      </c>
    </row>
    <row r="7" spans="1:12" ht="17.399999999999999" x14ac:dyDescent="0.25">
      <c r="A7" s="13" t="s">
        <v>34</v>
      </c>
      <c r="B7" s="17">
        <v>0.49297078815026435</v>
      </c>
      <c r="C7" s="17">
        <v>0.45498574519017204</v>
      </c>
      <c r="D7" s="17">
        <v>0.45984380525280844</v>
      </c>
      <c r="E7" s="17">
        <v>0.46439114816476046</v>
      </c>
      <c r="F7" s="17">
        <v>0.48085938766754222</v>
      </c>
      <c r="G7" s="17">
        <v>0.47634836083879356</v>
      </c>
      <c r="H7" s="23">
        <f t="shared" si="0"/>
        <v>-7.7053334341818935E-2</v>
      </c>
      <c r="I7" s="23">
        <f t="shared" si="1"/>
        <v>-5.7974307347380634E-2</v>
      </c>
      <c r="J7" s="23">
        <f t="shared" si="2"/>
        <v>-3.3718889051908778E-2</v>
      </c>
      <c r="K7" s="25"/>
      <c r="L7" s="25"/>
    </row>
    <row r="8" spans="1:12" x14ac:dyDescent="0.25">
      <c r="A8" s="13" t="s">
        <v>35</v>
      </c>
      <c r="B8" s="17">
        <v>0.58838878745188294</v>
      </c>
      <c r="C8" s="17">
        <v>0.51304788978975546</v>
      </c>
      <c r="D8" s="17">
        <v>0.49802191274327168</v>
      </c>
      <c r="E8" s="17">
        <v>0.47339910757474019</v>
      </c>
      <c r="F8" s="17">
        <v>0.45429099064799749</v>
      </c>
      <c r="G8" s="17">
        <v>0.43167282760823844</v>
      </c>
      <c r="H8" s="23">
        <f t="shared" si="0"/>
        <v>-0.12804611384320216</v>
      </c>
      <c r="I8" s="23">
        <f t="shared" si="1"/>
        <v>-0.19543146016620233</v>
      </c>
      <c r="J8" s="23">
        <f t="shared" si="2"/>
        <v>-0.26634763133799583</v>
      </c>
      <c r="K8" s="24">
        <v>0.06</v>
      </c>
      <c r="L8" s="24">
        <v>0.20300000000000001</v>
      </c>
    </row>
    <row r="9" spans="1:12" ht="17.399999999999999" x14ac:dyDescent="0.25">
      <c r="A9" s="13" t="s">
        <v>36</v>
      </c>
      <c r="B9" s="17">
        <v>2.4292281652282602E-3</v>
      </c>
      <c r="C9" s="17">
        <v>2.0621557472527679E-3</v>
      </c>
      <c r="D9" s="17">
        <v>1.9067988313389963E-3</v>
      </c>
      <c r="E9" s="17">
        <v>1.7578014124605334E-3</v>
      </c>
      <c r="F9" s="17">
        <v>1.5961937590257423E-3</v>
      </c>
      <c r="G9" s="17">
        <v>1.4262837187381141E-3</v>
      </c>
      <c r="H9" s="23">
        <f t="shared" si="0"/>
        <v>-0.15110660382986324</v>
      </c>
      <c r="I9" s="23">
        <f t="shared" si="1"/>
        <v>-0.27639509634313697</v>
      </c>
      <c r="J9" s="23">
        <f t="shared" si="2"/>
        <v>-0.41286547753981984</v>
      </c>
      <c r="K9" s="25"/>
      <c r="L9" s="25"/>
    </row>
    <row r="10" spans="1:12" ht="17.399999999999999" x14ac:dyDescent="0.25">
      <c r="A10" s="13" t="s">
        <v>37</v>
      </c>
      <c r="B10" s="17">
        <v>7.4802413906812901E-2</v>
      </c>
      <c r="C10" s="17">
        <v>7.3321177987866068E-2</v>
      </c>
      <c r="D10" s="17">
        <v>7.3669268428818629E-2</v>
      </c>
      <c r="E10" s="17">
        <v>7.4498019925469325E-2</v>
      </c>
      <c r="F10" s="17">
        <v>7.5080886259574889E-2</v>
      </c>
      <c r="G10" s="17">
        <v>7.5565250405070519E-2</v>
      </c>
      <c r="H10" s="23">
        <f t="shared" si="0"/>
        <v>-1.9801980198020371E-2</v>
      </c>
      <c r="I10" s="23">
        <f t="shared" si="1"/>
        <v>-4.06930693069321E-3</v>
      </c>
      <c r="J10" s="23">
        <f t="shared" si="2"/>
        <v>1.0198019801980488E-2</v>
      </c>
      <c r="K10" s="25"/>
      <c r="L10" s="25"/>
    </row>
    <row r="11" spans="1:12" ht="17.399999999999999" x14ac:dyDescent="0.25">
      <c r="A11" s="13" t="s">
        <v>38</v>
      </c>
      <c r="B11" s="17">
        <v>6.7968844545088919E-3</v>
      </c>
      <c r="C11" s="17">
        <v>6.4033757748536424E-3</v>
      </c>
      <c r="D11" s="17">
        <v>6.3057064846281773E-3</v>
      </c>
      <c r="E11" s="17">
        <v>6.236679790808497E-3</v>
      </c>
      <c r="F11" s="17">
        <v>6.1924301633268578E-3</v>
      </c>
      <c r="G11" s="17">
        <v>6.1022150626500989E-3</v>
      </c>
      <c r="H11" s="23">
        <f t="shared" si="0"/>
        <v>-5.7895449347267508E-2</v>
      </c>
      <c r="I11" s="23">
        <f t="shared" si="1"/>
        <v>-8.2420801390667806E-2</v>
      </c>
      <c r="J11" s="23">
        <f t="shared" si="2"/>
        <v>-0.10220409019870358</v>
      </c>
      <c r="K11" s="25"/>
      <c r="L11" s="25"/>
    </row>
    <row r="12" spans="1:12" ht="17.399999999999999" x14ac:dyDescent="0.25">
      <c r="A12" s="13" t="s">
        <v>39</v>
      </c>
      <c r="B12" s="17">
        <v>1.4255986466266629E-2</v>
      </c>
      <c r="C12" s="17">
        <v>2.4007357354209311E-2</v>
      </c>
      <c r="D12" s="17">
        <v>3.6559960546519291E-2</v>
      </c>
      <c r="E12" s="17">
        <v>4.9809156801498763E-2</v>
      </c>
      <c r="F12" s="17">
        <v>5.6916635911734036E-2</v>
      </c>
      <c r="G12" s="17">
        <v>6.7253164992832751E-2</v>
      </c>
      <c r="H12" s="23">
        <f t="shared" si="0"/>
        <v>0.68401937046004924</v>
      </c>
      <c r="I12" s="23">
        <f t="shared" si="1"/>
        <v>2.49391162227603</v>
      </c>
      <c r="J12" s="23">
        <f t="shared" si="2"/>
        <v>3.7175384987893492</v>
      </c>
      <c r="K12" s="25"/>
      <c r="L12" s="25"/>
    </row>
    <row r="13" spans="1:12" ht="17.399999999999999" x14ac:dyDescent="0.25">
      <c r="A13" s="13" t="s">
        <v>40</v>
      </c>
      <c r="B13" s="17">
        <v>4.3777950347969156E-2</v>
      </c>
      <c r="C13" s="17">
        <v>4.9615010394365049E-2</v>
      </c>
      <c r="D13" s="17">
        <v>5.825872347973627E-2</v>
      </c>
      <c r="E13" s="17">
        <v>6.1034731953468056E-2</v>
      </c>
      <c r="F13" s="17">
        <v>6.7520775792689045E-2</v>
      </c>
      <c r="G13" s="17">
        <v>7.3504054193247154E-2</v>
      </c>
      <c r="H13" s="23">
        <f t="shared" si="0"/>
        <v>0.13333333333333344</v>
      </c>
      <c r="I13" s="23">
        <f t="shared" si="1"/>
        <v>0.3941888888888887</v>
      </c>
      <c r="J13" s="23">
        <f t="shared" si="2"/>
        <v>0.67901999999999951</v>
      </c>
      <c r="K13" s="25"/>
      <c r="L13" s="25"/>
    </row>
    <row r="14" spans="1:12" ht="17.399999999999999" x14ac:dyDescent="0.25">
      <c r="A14" s="13" t="s">
        <v>41</v>
      </c>
      <c r="B14" s="17">
        <v>1.5088625541839483E-2</v>
      </c>
      <c r="C14" s="17">
        <v>1.3739269284178174E-2</v>
      </c>
      <c r="D14" s="17">
        <v>1.3521803618228447E-2</v>
      </c>
      <c r="E14" s="17">
        <v>1.34095268213579E-2</v>
      </c>
      <c r="F14" s="17">
        <v>1.2824281872813056E-2</v>
      </c>
      <c r="G14" s="17">
        <v>1.2410416337477902E-2</v>
      </c>
      <c r="H14" s="23">
        <f t="shared" si="0"/>
        <v>-8.9428706009017034E-2</v>
      </c>
      <c r="I14" s="23">
        <f t="shared" si="1"/>
        <v>-0.11128241706480051</v>
      </c>
      <c r="J14" s="23">
        <f t="shared" si="2"/>
        <v>-0.17749855326021133</v>
      </c>
      <c r="K14" s="25"/>
      <c r="L14" s="25"/>
    </row>
    <row r="15" spans="1:12" x14ac:dyDescent="0.25">
      <c r="A15" s="13" t="s">
        <v>42</v>
      </c>
      <c r="B15" s="17">
        <v>212.15751584186125</v>
      </c>
      <c r="C15" s="17">
        <v>201.54964004976813</v>
      </c>
      <c r="D15" s="17">
        <v>197.49743149718847</v>
      </c>
      <c r="E15" s="17">
        <v>195.49223989031751</v>
      </c>
      <c r="F15" s="17">
        <v>194.3562968909192</v>
      </c>
      <c r="G15" s="17">
        <v>190.77375151350327</v>
      </c>
      <c r="H15" s="23">
        <f t="shared" si="0"/>
        <v>-5.0000000000000294E-2</v>
      </c>
      <c r="I15" s="23">
        <f t="shared" si="1"/>
        <v>-7.8551428571428841E-2</v>
      </c>
      <c r="J15" s="23">
        <f t="shared" si="2"/>
        <v>-0.10079192454486077</v>
      </c>
      <c r="K15" s="24">
        <v>95</v>
      </c>
      <c r="L15" s="24">
        <v>255</v>
      </c>
    </row>
    <row r="16" spans="1:12" ht="17.399999999999999" x14ac:dyDescent="0.25">
      <c r="A16" s="13" t="s">
        <v>43</v>
      </c>
      <c r="B16" s="17">
        <v>2.9505842517861644E-3</v>
      </c>
      <c r="C16" s="17">
        <v>2.9228174856722774E-3</v>
      </c>
      <c r="D16" s="17">
        <v>2.9369931504777879E-3</v>
      </c>
      <c r="E16" s="17">
        <v>2.9976211535830883E-3</v>
      </c>
      <c r="F16" s="17">
        <v>3.0309383501022657E-3</v>
      </c>
      <c r="G16" s="17">
        <v>3.0653369890911446E-3</v>
      </c>
      <c r="H16" s="23">
        <f t="shared" si="0"/>
        <v>-9.4105993065875387E-3</v>
      </c>
      <c r="I16" s="23">
        <f t="shared" si="1"/>
        <v>1.5941555225359064E-2</v>
      </c>
      <c r="J16" s="23">
        <f t="shared" si="2"/>
        <v>3.8891530460624366E-2</v>
      </c>
      <c r="K16" s="25"/>
      <c r="L16" s="25"/>
    </row>
    <row r="17" spans="1:12" ht="17.399999999999999" x14ac:dyDescent="0.25">
      <c r="A17" s="13" t="s">
        <v>44</v>
      </c>
      <c r="B17" s="17">
        <v>0.17916123532514219</v>
      </c>
      <c r="C17" s="17">
        <v>0.17916123532514219</v>
      </c>
      <c r="D17" s="17">
        <v>0.1818486538550193</v>
      </c>
      <c r="E17" s="17">
        <v>0.18579020103217239</v>
      </c>
      <c r="F17" s="17">
        <v>0.18919426450335011</v>
      </c>
      <c r="G17" s="17">
        <v>0.19241916673920267</v>
      </c>
      <c r="H17" s="23">
        <f t="shared" si="0"/>
        <v>0</v>
      </c>
      <c r="I17" s="23">
        <f t="shared" si="1"/>
        <v>3.6999999999999651E-2</v>
      </c>
      <c r="J17" s="23">
        <f t="shared" si="2"/>
        <v>7.3999999999999774E-2</v>
      </c>
      <c r="K17" s="25"/>
      <c r="L17" s="25"/>
    </row>
    <row r="18" spans="1:12" x14ac:dyDescent="0.25">
      <c r="A18" s="13" t="s">
        <v>45</v>
      </c>
      <c r="B18" s="17">
        <v>1.2471539772767997E-2</v>
      </c>
      <c r="C18" s="17">
        <v>1.0203987086810171E-2</v>
      </c>
      <c r="D18" s="17">
        <v>9.2062639049887325E-3</v>
      </c>
      <c r="E18" s="17">
        <v>8.2300824736838956E-3</v>
      </c>
      <c r="F18" s="17">
        <v>7.183606909114364E-3</v>
      </c>
      <c r="G18" s="17">
        <v>6.0883789617967371E-3</v>
      </c>
      <c r="H18" s="23">
        <f t="shared" si="0"/>
        <v>-0.18181818181818249</v>
      </c>
      <c r="I18" s="23">
        <f t="shared" si="1"/>
        <v>-0.34009090909090939</v>
      </c>
      <c r="J18" s="23">
        <f t="shared" si="2"/>
        <v>-0.51181818181818206</v>
      </c>
      <c r="K18" s="27">
        <v>5.0000000000000001E-3</v>
      </c>
      <c r="L18" s="29">
        <v>7.0000000000000001E-3</v>
      </c>
    </row>
    <row r="19" spans="1:12" s="9" customFormat="1" x14ac:dyDescent="0.25">
      <c r="A19" s="13" t="s">
        <v>46</v>
      </c>
      <c r="B19" s="17">
        <v>1.4986756334848673E-2</v>
      </c>
      <c r="C19" s="17">
        <v>1.2261891546694362E-2</v>
      </c>
      <c r="D19" s="17">
        <v>1.1062951039906474E-2</v>
      </c>
      <c r="E19" s="17">
        <v>9.8898967486060439E-3</v>
      </c>
      <c r="F19" s="17">
        <v>8.632371648872832E-3</v>
      </c>
      <c r="G19" s="17">
        <v>7.3162619561943035E-3</v>
      </c>
      <c r="H19" s="23">
        <f t="shared" si="0"/>
        <v>-0.1818181818181823</v>
      </c>
      <c r="I19" s="23">
        <f t="shared" si="1"/>
        <v>-0.34009090909090933</v>
      </c>
      <c r="J19" s="23">
        <f t="shared" si="2"/>
        <v>-0.51181818181818206</v>
      </c>
      <c r="K19" s="28"/>
      <c r="L19" s="30"/>
    </row>
    <row r="20" spans="1:12" ht="17.399999999999999" x14ac:dyDescent="0.25">
      <c r="A20" s="13" t="s">
        <v>47</v>
      </c>
      <c r="B20" s="17">
        <f>B11+B12+B13+B14+B17</f>
        <v>0.25908068213572633</v>
      </c>
      <c r="C20" s="17">
        <f t="shared" ref="C20:G20" si="3">C11+C12+C13+C14+C17</f>
        <v>0.27292624813274835</v>
      </c>
      <c r="D20" s="17">
        <f t="shared" si="3"/>
        <v>0.2964948479841315</v>
      </c>
      <c r="E20" s="17">
        <f t="shared" si="3"/>
        <v>0.3162802963993056</v>
      </c>
      <c r="F20" s="17">
        <f t="shared" si="3"/>
        <v>0.33264838824391313</v>
      </c>
      <c r="G20" s="17">
        <f t="shared" si="3"/>
        <v>0.35168901732541058</v>
      </c>
      <c r="H20" s="23">
        <f t="shared" si="0"/>
        <v>5.3441136108205299E-2</v>
      </c>
      <c r="I20" s="23">
        <f t="shared" si="1"/>
        <v>0.2207791557134072</v>
      </c>
      <c r="J20" s="23">
        <f t="shared" si="2"/>
        <v>0.357449789101485</v>
      </c>
      <c r="K20" s="25"/>
      <c r="L20" s="25"/>
    </row>
    <row r="21" spans="1:12" s="9" customFormat="1" x14ac:dyDescent="0.25">
      <c r="A21" s="8"/>
      <c r="K21" s="6"/>
      <c r="L21" s="6"/>
    </row>
    <row r="22" spans="1:12" x14ac:dyDescent="0.25">
      <c r="K22" s="10"/>
      <c r="L22" s="10"/>
    </row>
  </sheetData>
  <mergeCells count="2">
    <mergeCell ref="K18:K19"/>
    <mergeCell ref="L18:L19"/>
  </mergeCells>
  <hyperlinks>
    <hyperlink ref="A1" location="Contenido!A1" display="Contenido" xr:uid="{D110D6CA-1A67-4349-ADE9-E87F4D78A6C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5F78-699C-404D-9516-66E698A51234}">
  <sheetPr>
    <tabColor rgb="FFD18316"/>
  </sheetPr>
  <dimension ref="A1:L22"/>
  <sheetViews>
    <sheetView topLeftCell="A3" zoomScale="70" zoomScaleNormal="70" workbookViewId="0">
      <selection activeCell="K3" sqref="K1:L1048576"/>
    </sheetView>
  </sheetViews>
  <sheetFormatPr baseColWidth="10" defaultColWidth="10.77734375" defaultRowHeight="13.8" x14ac:dyDescent="0.25"/>
  <cols>
    <col min="1" max="1" width="26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2" x14ac:dyDescent="0.25">
      <c r="A1" s="1" t="s">
        <v>0</v>
      </c>
    </row>
    <row r="2" spans="1:12" x14ac:dyDescent="0.25">
      <c r="A2" s="1"/>
    </row>
    <row r="3" spans="1:12" ht="15.6" x14ac:dyDescent="0.3">
      <c r="A3" s="4" t="s">
        <v>9</v>
      </c>
    </row>
    <row r="4" spans="1:12" x14ac:dyDescent="0.25">
      <c r="A4" s="14" t="s">
        <v>20</v>
      </c>
      <c r="B4" s="15" t="s">
        <v>21</v>
      </c>
      <c r="C4" s="15" t="s">
        <v>22</v>
      </c>
      <c r="D4" s="15" t="s">
        <v>23</v>
      </c>
      <c r="E4" s="15" t="s">
        <v>24</v>
      </c>
      <c r="F4" s="15" t="s">
        <v>25</v>
      </c>
      <c r="G4" s="16" t="s">
        <v>26</v>
      </c>
      <c r="H4" s="20" t="s">
        <v>27</v>
      </c>
      <c r="I4" s="20" t="s">
        <v>28</v>
      </c>
      <c r="J4" s="20" t="s">
        <v>29</v>
      </c>
      <c r="K4" s="21" t="s">
        <v>30</v>
      </c>
      <c r="L4" s="22" t="s">
        <v>31</v>
      </c>
    </row>
    <row r="5" spans="1:12" x14ac:dyDescent="0.25">
      <c r="A5" s="13" t="s">
        <v>32</v>
      </c>
      <c r="B5" s="17">
        <v>6.9163393197748757</v>
      </c>
      <c r="C5" s="17">
        <v>5.2508551424846273</v>
      </c>
      <c r="D5" s="17">
        <v>4.509718715368412</v>
      </c>
      <c r="E5" s="17">
        <v>3.736853746403574</v>
      </c>
      <c r="F5" s="17">
        <v>3.134407391545766</v>
      </c>
      <c r="G5" s="17">
        <v>2.471915929006034</v>
      </c>
      <c r="H5" s="23">
        <f>+(C5-B5)/B5</f>
        <v>-0.24080428970978529</v>
      </c>
      <c r="I5" s="23">
        <f>(E5-B5)/B5</f>
        <v>-0.45970641785614313</v>
      </c>
      <c r="J5" s="23">
        <f>(G5-B5)/B5</f>
        <v>-0.64259764960657051</v>
      </c>
      <c r="K5" s="24">
        <v>1</v>
      </c>
      <c r="L5" s="24">
        <v>3.5</v>
      </c>
    </row>
    <row r="6" spans="1:12" x14ac:dyDescent="0.25">
      <c r="A6" s="13" t="s">
        <v>33</v>
      </c>
      <c r="B6" s="17">
        <v>1.8270645458246071</v>
      </c>
      <c r="C6" s="17">
        <v>1.5538236378387744</v>
      </c>
      <c r="D6" s="17">
        <v>1.4426175459600334</v>
      </c>
      <c r="E6" s="17">
        <v>1.331052583190812</v>
      </c>
      <c r="F6" s="17">
        <v>1.2453695691517002</v>
      </c>
      <c r="G6" s="17">
        <v>1.1306619691261028</v>
      </c>
      <c r="H6" s="23">
        <f t="shared" ref="H6:H20" si="0">+(C6-B6)/B6</f>
        <v>-0.14955186373150881</v>
      </c>
      <c r="I6" s="23">
        <f t="shared" ref="I6:I20" si="1">(E6-B6)/B6</f>
        <v>-0.27148026257054347</v>
      </c>
      <c r="J6" s="23">
        <f t="shared" ref="J6:J20" si="2">(G6-B6)/B6</f>
        <v>-0.38115926352464885</v>
      </c>
      <c r="K6" s="24">
        <v>0.1</v>
      </c>
      <c r="L6" s="24">
        <v>0.27300000000000002</v>
      </c>
    </row>
    <row r="7" spans="1:12" ht="17.399999999999999" x14ac:dyDescent="0.25">
      <c r="A7" s="13" t="s">
        <v>34</v>
      </c>
      <c r="B7" s="17">
        <v>0.49297078815026435</v>
      </c>
      <c r="C7" s="17">
        <v>0.45498574519017204</v>
      </c>
      <c r="D7" s="17">
        <v>0.45984380525280844</v>
      </c>
      <c r="E7" s="17">
        <v>0.46439114816476046</v>
      </c>
      <c r="F7" s="17">
        <v>0.48085938766754222</v>
      </c>
      <c r="G7" s="17">
        <v>0.47634836083879356</v>
      </c>
      <c r="H7" s="23">
        <f t="shared" si="0"/>
        <v>-7.7053334341818935E-2</v>
      </c>
      <c r="I7" s="23">
        <f t="shared" si="1"/>
        <v>-5.7974307347380634E-2</v>
      </c>
      <c r="J7" s="23">
        <f t="shared" si="2"/>
        <v>-3.3718889051908778E-2</v>
      </c>
      <c r="K7" s="25"/>
      <c r="L7" s="25"/>
    </row>
    <row r="8" spans="1:12" x14ac:dyDescent="0.25">
      <c r="A8" s="13" t="s">
        <v>35</v>
      </c>
      <c r="B8" s="17">
        <v>0.37752761070978919</v>
      </c>
      <c r="C8" s="17">
        <v>0.32928208901102191</v>
      </c>
      <c r="D8" s="17">
        <v>0.31973926306027772</v>
      </c>
      <c r="E8" s="17">
        <v>0.3040436954701547</v>
      </c>
      <c r="F8" s="17">
        <v>0.29188956810193206</v>
      </c>
      <c r="G8" s="17">
        <v>0.27748644047501497</v>
      </c>
      <c r="H8" s="23">
        <f t="shared" si="0"/>
        <v>-0.12779335955868482</v>
      </c>
      <c r="I8" s="23">
        <f t="shared" si="1"/>
        <v>-0.19464514158706822</v>
      </c>
      <c r="J8" s="23">
        <f t="shared" si="2"/>
        <v>-0.26499034083013673</v>
      </c>
      <c r="K8" s="24">
        <v>0.06</v>
      </c>
      <c r="L8" s="24">
        <v>0.20300000000000001</v>
      </c>
    </row>
    <row r="9" spans="1:12" ht="17.399999999999999" x14ac:dyDescent="0.25">
      <c r="A9" s="13" t="s">
        <v>36</v>
      </c>
      <c r="B9" s="17">
        <v>1.2550002769048598E-3</v>
      </c>
      <c r="C9" s="17">
        <v>1.0653614472562285E-3</v>
      </c>
      <c r="D9" s="17">
        <v>9.8510016291839084E-4</v>
      </c>
      <c r="E9" s="17">
        <v>9.0812435445907749E-4</v>
      </c>
      <c r="F9" s="17">
        <v>8.2463378213914432E-4</v>
      </c>
      <c r="G9" s="17">
        <v>7.3685398826792853E-4</v>
      </c>
      <c r="H9" s="23">
        <f t="shared" si="0"/>
        <v>-0.15110660382986321</v>
      </c>
      <c r="I9" s="23">
        <f t="shared" si="1"/>
        <v>-0.27639509634313697</v>
      </c>
      <c r="J9" s="23">
        <f t="shared" si="2"/>
        <v>-0.41286547753982</v>
      </c>
      <c r="K9" s="25"/>
      <c r="L9" s="25"/>
    </row>
    <row r="10" spans="1:12" ht="17.399999999999999" x14ac:dyDescent="0.25">
      <c r="A10" s="13" t="s">
        <v>37</v>
      </c>
      <c r="B10" s="17">
        <v>6.499072499857049E-2</v>
      </c>
      <c r="C10" s="17">
        <v>6.3703779949093847E-2</v>
      </c>
      <c r="D10" s="17">
        <v>6.400621203572085E-2</v>
      </c>
      <c r="E10" s="17">
        <v>6.4726257790903075E-2</v>
      </c>
      <c r="F10" s="17">
        <v>6.5232670667872097E-2</v>
      </c>
      <c r="G10" s="17">
        <v>6.5653501699050959E-2</v>
      </c>
      <c r="H10" s="23">
        <f t="shared" si="0"/>
        <v>-1.9801980198019792E-2</v>
      </c>
      <c r="I10" s="23">
        <f t="shared" si="1"/>
        <v>-4.0693069306925334E-3</v>
      </c>
      <c r="J10" s="23">
        <f t="shared" si="2"/>
        <v>1.0198019801980164E-2</v>
      </c>
      <c r="K10" s="25"/>
      <c r="L10" s="25"/>
    </row>
    <row r="11" spans="1:12" ht="17.399999999999999" x14ac:dyDescent="0.25">
      <c r="A11" s="13" t="s">
        <v>38</v>
      </c>
      <c r="B11" s="17">
        <v>8.839219624167477E-3</v>
      </c>
      <c r="C11" s="17">
        <v>7.3456779553732815E-3</v>
      </c>
      <c r="D11" s="17">
        <v>6.7206092464993927E-3</v>
      </c>
      <c r="E11" s="17">
        <v>6.0855460126761352E-3</v>
      </c>
      <c r="F11" s="17">
        <v>5.5953968442254845E-3</v>
      </c>
      <c r="G11" s="17">
        <v>4.9477461205619695E-3</v>
      </c>
      <c r="H11" s="23">
        <f t="shared" si="0"/>
        <v>-0.16896759355437613</v>
      </c>
      <c r="I11" s="23">
        <f t="shared" si="1"/>
        <v>-0.3115290408626652</v>
      </c>
      <c r="J11" s="23">
        <f t="shared" si="2"/>
        <v>-0.44025079917301257</v>
      </c>
      <c r="K11" s="25"/>
      <c r="L11" s="25"/>
    </row>
    <row r="12" spans="1:12" ht="17.399999999999999" x14ac:dyDescent="0.25">
      <c r="A12" s="13" t="s">
        <v>39</v>
      </c>
      <c r="B12" s="17">
        <v>3.2410986335651676E-2</v>
      </c>
      <c r="C12" s="17">
        <v>5.4580728804953363E-2</v>
      </c>
      <c r="D12" s="17">
        <v>8.3119073135281621E-2</v>
      </c>
      <c r="E12" s="17">
        <v>0.11324112184756295</v>
      </c>
      <c r="F12" s="17">
        <v>0.12939997615539053</v>
      </c>
      <c r="G12" s="17">
        <v>0.15290007582217224</v>
      </c>
      <c r="H12" s="23">
        <f t="shared" si="0"/>
        <v>0.68401937046004835</v>
      </c>
      <c r="I12" s="23">
        <f t="shared" si="1"/>
        <v>2.4939116222760287</v>
      </c>
      <c r="J12" s="23">
        <f t="shared" si="2"/>
        <v>3.7175384987893469</v>
      </c>
      <c r="K12" s="25"/>
      <c r="L12" s="25"/>
    </row>
    <row r="13" spans="1:12" ht="17.399999999999999" x14ac:dyDescent="0.25">
      <c r="A13" s="13" t="s">
        <v>40</v>
      </c>
      <c r="B13" s="17">
        <v>0.13578010963378886</v>
      </c>
      <c r="C13" s="17">
        <v>0.1538841242516274</v>
      </c>
      <c r="D13" s="17">
        <v>0.18069315256487659</v>
      </c>
      <c r="E13" s="17">
        <v>0.18930312018354359</v>
      </c>
      <c r="F13" s="17">
        <v>0.20941999949330881</v>
      </c>
      <c r="G13" s="17">
        <v>0.22797751967732421</v>
      </c>
      <c r="H13" s="23">
        <f t="shared" si="0"/>
        <v>0.13333333333333344</v>
      </c>
      <c r="I13" s="23">
        <f t="shared" si="1"/>
        <v>0.3941888888888887</v>
      </c>
      <c r="J13" s="23">
        <f t="shared" si="2"/>
        <v>0.67902000000000029</v>
      </c>
      <c r="K13" s="25"/>
      <c r="L13" s="25"/>
    </row>
    <row r="14" spans="1:12" ht="17.399999999999999" x14ac:dyDescent="0.25">
      <c r="A14" s="13" t="s">
        <v>41</v>
      </c>
      <c r="B14" s="17">
        <v>2.1724651501994752E-2</v>
      </c>
      <c r="C14" s="17">
        <v>1.978184402967453E-2</v>
      </c>
      <c r="D14" s="17">
        <v>1.946873626559709E-2</v>
      </c>
      <c r="E14" s="17">
        <v>1.9307079772962338E-2</v>
      </c>
      <c r="F14" s="17">
        <v>1.8464442216931529E-2</v>
      </c>
      <c r="G14" s="17">
        <v>1.7868557290308423E-2</v>
      </c>
      <c r="H14" s="23">
        <f t="shared" si="0"/>
        <v>-8.9428706009016271E-2</v>
      </c>
      <c r="I14" s="23">
        <f t="shared" si="1"/>
        <v>-0.11128241706480003</v>
      </c>
      <c r="J14" s="23">
        <f t="shared" si="2"/>
        <v>-0.17749855326021058</v>
      </c>
      <c r="K14" s="25"/>
      <c r="L14" s="25"/>
    </row>
    <row r="15" spans="1:12" x14ac:dyDescent="0.25">
      <c r="A15" s="13" t="s">
        <v>42</v>
      </c>
      <c r="B15" s="17">
        <v>113.70122937283837</v>
      </c>
      <c r="C15" s="17">
        <v>108.01616790419644</v>
      </c>
      <c r="D15" s="17">
        <v>105.84447442317521</v>
      </c>
      <c r="E15" s="17">
        <v>104.76983537527425</v>
      </c>
      <c r="F15" s="17">
        <v>104.33410554634409</v>
      </c>
      <c r="G15" s="17">
        <v>102.41092799299909</v>
      </c>
      <c r="H15" s="23">
        <f t="shared" si="0"/>
        <v>-5.0000000000000135E-2</v>
      </c>
      <c r="I15" s="23">
        <f t="shared" si="1"/>
        <v>-7.8551428571428439E-2</v>
      </c>
      <c r="J15" s="23">
        <f t="shared" si="2"/>
        <v>-9.9297971025600645E-2</v>
      </c>
      <c r="K15" s="24">
        <v>95</v>
      </c>
      <c r="L15" s="24">
        <v>255</v>
      </c>
    </row>
    <row r="16" spans="1:12" ht="17.399999999999999" x14ac:dyDescent="0.25">
      <c r="A16" s="13" t="s">
        <v>43</v>
      </c>
      <c r="B16" s="17">
        <v>1.429720278913498E-3</v>
      </c>
      <c r="C16" s="17">
        <v>1.4162657542481402E-3</v>
      </c>
      <c r="D16" s="17">
        <v>1.4231346431562435E-3</v>
      </c>
      <c r="E16" s="17">
        <v>1.4525122436966128E-3</v>
      </c>
      <c r="F16" s="17">
        <v>1.4686562570292874E-3</v>
      </c>
      <c r="G16" s="17">
        <v>1.4853242886910341E-3</v>
      </c>
      <c r="H16" s="23">
        <f t="shared" si="0"/>
        <v>-9.4105993065877452E-3</v>
      </c>
      <c r="I16" s="23">
        <f t="shared" si="1"/>
        <v>1.5941555225358731E-2</v>
      </c>
      <c r="J16" s="23">
        <f t="shared" si="2"/>
        <v>3.8891530460623963E-2</v>
      </c>
      <c r="K16" s="25"/>
      <c r="L16" s="25"/>
    </row>
    <row r="17" spans="1:12" ht="17.399999999999999" x14ac:dyDescent="0.25">
      <c r="A17" s="13" t="s">
        <v>44</v>
      </c>
      <c r="B17" s="17">
        <v>0.40534206061507005</v>
      </c>
      <c r="C17" s="17">
        <v>0.40534206061507005</v>
      </c>
      <c r="D17" s="17">
        <v>0.41142219152429604</v>
      </c>
      <c r="E17" s="17">
        <v>0.42033971685782762</v>
      </c>
      <c r="F17" s="17">
        <v>0.42804121600951406</v>
      </c>
      <c r="G17" s="17">
        <v>0.43533737310058535</v>
      </c>
      <c r="H17" s="23">
        <f t="shared" si="0"/>
        <v>0</v>
      </c>
      <c r="I17" s="23">
        <f t="shared" si="1"/>
        <v>3.6999999999999929E-2</v>
      </c>
      <c r="J17" s="23">
        <f t="shared" si="2"/>
        <v>7.400000000000026E-2</v>
      </c>
      <c r="K17" s="25"/>
      <c r="L17" s="25"/>
    </row>
    <row r="18" spans="1:12" x14ac:dyDescent="0.25">
      <c r="A18" s="13" t="s">
        <v>45</v>
      </c>
      <c r="B18" s="17">
        <v>8.0810372610016917E-3</v>
      </c>
      <c r="C18" s="17">
        <v>6.6117577590013863E-3</v>
      </c>
      <c r="D18" s="17">
        <v>5.9652747781212467E-3</v>
      </c>
      <c r="E18" s="17">
        <v>5.3327499525101154E-3</v>
      </c>
      <c r="F18" s="17">
        <v>4.6546774623369711E-3</v>
      </c>
      <c r="G18" s="17">
        <v>3.9450154628708255E-3</v>
      </c>
      <c r="H18" s="23">
        <f t="shared" si="0"/>
        <v>-0.18181818181818155</v>
      </c>
      <c r="I18" s="23">
        <f t="shared" si="1"/>
        <v>-0.34009090909090922</v>
      </c>
      <c r="J18" s="23">
        <f t="shared" si="2"/>
        <v>-0.51181818181818184</v>
      </c>
      <c r="K18" s="27">
        <v>5.0000000000000001E-3</v>
      </c>
      <c r="L18" s="29">
        <v>7.0000000000000001E-3</v>
      </c>
    </row>
    <row r="19" spans="1:12" s="9" customFormat="1" x14ac:dyDescent="0.25">
      <c r="A19" s="13" t="s">
        <v>46</v>
      </c>
      <c r="B19" s="17">
        <v>8.8143589997260616E-2</v>
      </c>
      <c r="C19" s="17">
        <v>7.211748272503142E-2</v>
      </c>
      <c r="D19" s="17">
        <v>6.5065995525250553E-2</v>
      </c>
      <c r="E19" s="17">
        <v>5.8166756344555891E-2</v>
      </c>
      <c r="F19" s="17">
        <v>5.0770707838422115E-2</v>
      </c>
      <c r="G19" s="17">
        <v>4.3030098025935402E-2</v>
      </c>
      <c r="H19" s="23">
        <f t="shared" si="0"/>
        <v>-0.18181818181818174</v>
      </c>
      <c r="I19" s="23">
        <f t="shared" si="1"/>
        <v>-0.34009090909090911</v>
      </c>
      <c r="J19" s="23">
        <f t="shared" si="2"/>
        <v>-0.51181818181818195</v>
      </c>
      <c r="K19" s="28"/>
      <c r="L19" s="30"/>
    </row>
    <row r="20" spans="1:12" ht="17.399999999999999" x14ac:dyDescent="0.25">
      <c r="A20" s="13" t="s">
        <v>47</v>
      </c>
      <c r="B20" s="17">
        <f>B11+B12+B13+B14+B17</f>
        <v>0.60409702771067286</v>
      </c>
      <c r="C20" s="17">
        <f t="shared" ref="C20:G20" si="3">C11+C12+C13+C14+C17</f>
        <v>0.64093443565669861</v>
      </c>
      <c r="D20" s="17">
        <f t="shared" si="3"/>
        <v>0.70142376273655072</v>
      </c>
      <c r="E20" s="17">
        <f t="shared" si="3"/>
        <v>0.7482765846745727</v>
      </c>
      <c r="F20" s="17">
        <f t="shared" si="3"/>
        <v>0.79092103071937048</v>
      </c>
      <c r="G20" s="17">
        <f t="shared" si="3"/>
        <v>0.83903127201095229</v>
      </c>
      <c r="H20" s="23">
        <f t="shared" si="0"/>
        <v>6.0979290174009444E-2</v>
      </c>
      <c r="I20" s="23">
        <f t="shared" si="1"/>
        <v>0.23866953543918679</v>
      </c>
      <c r="J20" s="23">
        <f t="shared" si="2"/>
        <v>0.38890150675066587</v>
      </c>
      <c r="K20" s="25"/>
      <c r="L20" s="25"/>
    </row>
    <row r="21" spans="1:12" s="9" customFormat="1" x14ac:dyDescent="0.25">
      <c r="A21" s="8"/>
      <c r="K21" s="6"/>
      <c r="L21" s="6"/>
    </row>
    <row r="22" spans="1:12" x14ac:dyDescent="0.25">
      <c r="K22" s="10"/>
      <c r="L22" s="10"/>
    </row>
  </sheetData>
  <mergeCells count="2">
    <mergeCell ref="K18:K19"/>
    <mergeCell ref="L18:L19"/>
  </mergeCells>
  <hyperlinks>
    <hyperlink ref="A1" location="Contenido!A1" display="Contenido" xr:uid="{C0E8D5E9-5694-49CA-9234-B7AEAFEA88F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F7F7-4D7B-4B3A-A1CB-806052B94B67}">
  <sheetPr>
    <tabColor rgb="FFD18316"/>
  </sheetPr>
  <dimension ref="A1:L22"/>
  <sheetViews>
    <sheetView zoomScale="70" zoomScaleNormal="70" workbookViewId="0">
      <selection activeCell="K1" sqref="K1:L104857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2" x14ac:dyDescent="0.25">
      <c r="A1" s="1" t="s">
        <v>0</v>
      </c>
    </row>
    <row r="2" spans="1:12" x14ac:dyDescent="0.25">
      <c r="A2" s="1"/>
    </row>
    <row r="3" spans="1:12" ht="15.6" x14ac:dyDescent="0.3">
      <c r="A3" s="4" t="s">
        <v>10</v>
      </c>
    </row>
    <row r="4" spans="1:12" x14ac:dyDescent="0.25">
      <c r="A4" s="14" t="s">
        <v>20</v>
      </c>
      <c r="B4" s="15" t="s">
        <v>21</v>
      </c>
      <c r="C4" s="15" t="s">
        <v>22</v>
      </c>
      <c r="D4" s="15" t="s">
        <v>23</v>
      </c>
      <c r="E4" s="15" t="s">
        <v>24</v>
      </c>
      <c r="F4" s="15" t="s">
        <v>25</v>
      </c>
      <c r="G4" s="16" t="s">
        <v>26</v>
      </c>
      <c r="H4" s="20" t="s">
        <v>27</v>
      </c>
      <c r="I4" s="20" t="s">
        <v>28</v>
      </c>
      <c r="J4" s="20" t="s">
        <v>29</v>
      </c>
      <c r="K4" s="21" t="s">
        <v>30</v>
      </c>
      <c r="L4" s="22" t="s">
        <v>31</v>
      </c>
    </row>
    <row r="5" spans="1:12" x14ac:dyDescent="0.25">
      <c r="A5" s="13" t="s">
        <v>32</v>
      </c>
      <c r="B5" s="17">
        <v>7.3862100729297309</v>
      </c>
      <c r="C5" s="17">
        <v>6.5943464507110621</v>
      </c>
      <c r="D5" s="17">
        <v>6.3034360326863155</v>
      </c>
      <c r="E5" s="17">
        <v>6.0261246939775743</v>
      </c>
      <c r="F5" s="17">
        <v>5.8175464282815499</v>
      </c>
      <c r="G5" s="17">
        <v>5.5227623936034727</v>
      </c>
      <c r="H5" s="23">
        <f>+(C5-B5)/B5</f>
        <v>-0.10720838080693487</v>
      </c>
      <c r="I5" s="23">
        <f>(E5-B5)/B5</f>
        <v>-0.18413846418162871</v>
      </c>
      <c r="J5" s="23">
        <f>(G5-B5)/B5</f>
        <v>-0.25228739244172677</v>
      </c>
      <c r="K5" s="24">
        <v>1</v>
      </c>
      <c r="L5" s="24">
        <v>3.5</v>
      </c>
    </row>
    <row r="6" spans="1:12" x14ac:dyDescent="0.25">
      <c r="A6" s="13" t="s">
        <v>33</v>
      </c>
      <c r="B6" s="17">
        <v>0.91015098043766451</v>
      </c>
      <c r="C6" s="17">
        <v>0.83896723110365556</v>
      </c>
      <c r="D6" s="17">
        <v>0.81650877501387353</v>
      </c>
      <c r="E6" s="17">
        <v>0.79699602152765003</v>
      </c>
      <c r="F6" s="17">
        <v>0.78292342937993675</v>
      </c>
      <c r="G6" s="17">
        <v>0.76085528471725905</v>
      </c>
      <c r="H6" s="23">
        <f t="shared" ref="H6:H20" si="0">+(C6-B6)/B6</f>
        <v>-7.8210924191697076E-2</v>
      </c>
      <c r="I6" s="23">
        <f t="shared" ref="I6:I20" si="1">(E6-B6)/B6</f>
        <v>-0.12432548153230756</v>
      </c>
      <c r="J6" s="23">
        <f t="shared" ref="J6:J20" si="2">(G6-B6)/B6</f>
        <v>-0.16403398878789716</v>
      </c>
      <c r="K6" s="24">
        <v>0.1</v>
      </c>
      <c r="L6" s="24">
        <v>0.27300000000000002</v>
      </c>
    </row>
    <row r="7" spans="1:12" ht="17.399999999999999" x14ac:dyDescent="0.25">
      <c r="A7" s="13" t="s">
        <v>34</v>
      </c>
      <c r="B7" s="17">
        <v>0.49297078815026435</v>
      </c>
      <c r="C7" s="17">
        <v>0.45498574519017204</v>
      </c>
      <c r="D7" s="17">
        <v>0.45984380525280844</v>
      </c>
      <c r="E7" s="17">
        <v>0.46439114816476046</v>
      </c>
      <c r="F7" s="17">
        <v>0.48085938766754222</v>
      </c>
      <c r="G7" s="17">
        <v>0.47634836083879356</v>
      </c>
      <c r="H7" s="23">
        <f t="shared" si="0"/>
        <v>-7.7053334341818935E-2</v>
      </c>
      <c r="I7" s="23">
        <f t="shared" si="1"/>
        <v>-5.7974307347380634E-2</v>
      </c>
      <c r="J7" s="23">
        <f t="shared" si="2"/>
        <v>-3.3718889051908778E-2</v>
      </c>
      <c r="K7" s="25"/>
      <c r="L7" s="25"/>
    </row>
    <row r="8" spans="1:12" x14ac:dyDescent="0.25">
      <c r="A8" s="13" t="s">
        <v>35</v>
      </c>
      <c r="B8" s="17">
        <v>0.44290573143444789</v>
      </c>
      <c r="C8" s="17">
        <v>0.38532798634796978</v>
      </c>
      <c r="D8" s="17">
        <v>0.37312593344695072</v>
      </c>
      <c r="E8" s="17">
        <v>0.35365579749309234</v>
      </c>
      <c r="F8" s="17">
        <v>0.33830911389888868</v>
      </c>
      <c r="G8" s="17">
        <v>0.32029170874413532</v>
      </c>
      <c r="H8" s="23">
        <f t="shared" si="0"/>
        <v>-0.12999999999999975</v>
      </c>
      <c r="I8" s="23">
        <f t="shared" si="1"/>
        <v>-0.20150999999999991</v>
      </c>
      <c r="J8" s="23">
        <f t="shared" si="2"/>
        <v>-0.27684000000000003</v>
      </c>
      <c r="K8" s="24">
        <v>0.06</v>
      </c>
      <c r="L8" s="24">
        <v>0.20300000000000001</v>
      </c>
    </row>
    <row r="9" spans="1:12" ht="17.399999999999999" x14ac:dyDescent="0.25">
      <c r="A9" s="13" t="s">
        <v>36</v>
      </c>
      <c r="B9" s="17">
        <v>2.2657008601229072E-3</v>
      </c>
      <c r="C9" s="17">
        <v>1.9233384978553341E-3</v>
      </c>
      <c r="D9" s="17">
        <v>1.7784396764723705E-3</v>
      </c>
      <c r="E9" s="17">
        <v>1.6394722526045077E-3</v>
      </c>
      <c r="F9" s="17">
        <v>1.4887434719033973E-3</v>
      </c>
      <c r="G9" s="17">
        <v>1.3302711925458825E-3</v>
      </c>
      <c r="H9" s="23">
        <f t="shared" si="0"/>
        <v>-0.15110660382986349</v>
      </c>
      <c r="I9" s="23">
        <f t="shared" si="1"/>
        <v>-0.27639509634313708</v>
      </c>
      <c r="J9" s="23">
        <f t="shared" si="2"/>
        <v>-0.41286547753981984</v>
      </c>
      <c r="K9" s="25"/>
      <c r="L9" s="25"/>
    </row>
    <row r="10" spans="1:12" ht="17.399999999999999" x14ac:dyDescent="0.25">
      <c r="A10" s="13" t="s">
        <v>37</v>
      </c>
      <c r="B10" s="17">
        <v>7.5764960029543013E-2</v>
      </c>
      <c r="C10" s="17">
        <v>7.4264663791334271E-2</v>
      </c>
      <c r="D10" s="17">
        <v>7.4617233407313313E-2</v>
      </c>
      <c r="E10" s="17">
        <v>7.5456649152591093E-2</v>
      </c>
      <c r="F10" s="17">
        <v>7.6047015722326264E-2</v>
      </c>
      <c r="G10" s="17">
        <v>7.6537612592220555E-2</v>
      </c>
      <c r="H10" s="23">
        <f t="shared" si="0"/>
        <v>-1.9801980198019407E-2</v>
      </c>
      <c r="I10" s="23">
        <f t="shared" si="1"/>
        <v>-4.0693069306932958E-3</v>
      </c>
      <c r="J10" s="23">
        <f t="shared" si="2"/>
        <v>1.0198019801980518E-2</v>
      </c>
      <c r="K10" s="25"/>
      <c r="L10" s="25"/>
    </row>
    <row r="11" spans="1:12" ht="17.399999999999999" x14ac:dyDescent="0.25">
      <c r="A11" s="13" t="s">
        <v>38</v>
      </c>
      <c r="B11" s="17">
        <v>7.8388406095231278E-3</v>
      </c>
      <c r="C11" s="17">
        <v>7.3578189850699149E-3</v>
      </c>
      <c r="D11" s="17">
        <v>7.231384697938709E-3</v>
      </c>
      <c r="E11" s="17">
        <v>7.1366755869329045E-3</v>
      </c>
      <c r="F11" s="17">
        <v>7.073662586060632E-3</v>
      </c>
      <c r="G11" s="17">
        <v>6.9549313986897992E-3</v>
      </c>
      <c r="H11" s="23">
        <f t="shared" si="0"/>
        <v>-6.1363873615294204E-2</v>
      </c>
      <c r="I11" s="23">
        <f t="shared" si="1"/>
        <v>-8.9575111622653497E-2</v>
      </c>
      <c r="J11" s="23">
        <f t="shared" si="2"/>
        <v>-0.11276019693007903</v>
      </c>
      <c r="K11" s="25"/>
      <c r="L11" s="25"/>
    </row>
    <row r="12" spans="1:12" ht="17.399999999999999" x14ac:dyDescent="0.25">
      <c r="A12" s="13" t="s">
        <v>39</v>
      </c>
      <c r="B12" s="17">
        <v>2.0338066034565179E-2</v>
      </c>
      <c r="C12" s="17">
        <v>3.424969715990335E-2</v>
      </c>
      <c r="D12" s="17">
        <v>5.2157659771609667E-2</v>
      </c>
      <c r="E12" s="17">
        <v>7.1059405292784622E-2</v>
      </c>
      <c r="F12" s="17">
        <v>8.119917217775649E-2</v>
      </c>
      <c r="G12" s="17">
        <v>9.5945609508981233E-2</v>
      </c>
      <c r="H12" s="23">
        <f t="shared" si="0"/>
        <v>0.68401937046004857</v>
      </c>
      <c r="I12" s="23">
        <f t="shared" si="1"/>
        <v>2.4939116222760287</v>
      </c>
      <c r="J12" s="23">
        <f t="shared" si="2"/>
        <v>3.7175384987893478</v>
      </c>
      <c r="K12" s="25"/>
      <c r="L12" s="25"/>
    </row>
    <row r="13" spans="1:12" ht="17.399999999999999" x14ac:dyDescent="0.25">
      <c r="A13" s="13" t="s">
        <v>40</v>
      </c>
      <c r="B13" s="17">
        <v>7.6997390958272072E-2</v>
      </c>
      <c r="C13" s="17">
        <v>8.7263709752708349E-2</v>
      </c>
      <c r="D13" s="17">
        <v>0.10246641683413603</v>
      </c>
      <c r="E13" s="17">
        <v>0.1073489069474567</v>
      </c>
      <c r="F13" s="17">
        <v>0.11875666928652107</v>
      </c>
      <c r="G13" s="17">
        <v>0.12928015936675796</v>
      </c>
      <c r="H13" s="23">
        <f t="shared" si="0"/>
        <v>0.13333333333333333</v>
      </c>
      <c r="I13" s="23">
        <f t="shared" si="1"/>
        <v>0.3941888888888887</v>
      </c>
      <c r="J13" s="23">
        <f t="shared" si="2"/>
        <v>0.67901999999999985</v>
      </c>
      <c r="K13" s="25"/>
      <c r="L13" s="25"/>
    </row>
    <row r="14" spans="1:12" ht="17.399999999999999" x14ac:dyDescent="0.25">
      <c r="A14" s="13" t="s">
        <v>41</v>
      </c>
      <c r="B14" s="17">
        <v>1.2003123147695256E-2</v>
      </c>
      <c r="C14" s="17">
        <v>1.0929699376529991E-2</v>
      </c>
      <c r="D14" s="17">
        <v>1.0756703687721084E-2</v>
      </c>
      <c r="E14" s="17">
        <v>1.0667386591493274E-2</v>
      </c>
      <c r="F14" s="17">
        <v>1.0201819521154671E-2</v>
      </c>
      <c r="G14" s="17">
        <v>9.8725861543751941E-3</v>
      </c>
      <c r="H14" s="23">
        <f t="shared" si="0"/>
        <v>-8.9428706009016992E-2</v>
      </c>
      <c r="I14" s="23">
        <f t="shared" si="1"/>
        <v>-0.11128241706480034</v>
      </c>
      <c r="J14" s="23">
        <f t="shared" si="2"/>
        <v>-0.17749855326021136</v>
      </c>
      <c r="K14" s="25"/>
      <c r="L14" s="25"/>
    </row>
    <row r="15" spans="1:12" x14ac:dyDescent="0.25">
      <c r="A15" s="13" t="s">
        <v>42</v>
      </c>
      <c r="B15" s="17">
        <v>199.00732857149254</v>
      </c>
      <c r="C15" s="17">
        <v>189.05696214291791</v>
      </c>
      <c r="D15" s="17">
        <v>185.25592216720241</v>
      </c>
      <c r="E15" s="17">
        <v>183.37501861601817</v>
      </c>
      <c r="F15" s="17">
        <v>182.31056500191923</v>
      </c>
      <c r="G15" s="17">
        <v>178.95005709788009</v>
      </c>
      <c r="H15" s="23">
        <f t="shared" si="0"/>
        <v>-4.9999999999999996E-2</v>
      </c>
      <c r="I15" s="23">
        <f t="shared" si="1"/>
        <v>-7.8551428571428356E-2</v>
      </c>
      <c r="J15" s="23">
        <f t="shared" si="2"/>
        <v>-0.10078659724537208</v>
      </c>
      <c r="K15" s="24">
        <v>95</v>
      </c>
      <c r="L15" s="24">
        <v>255</v>
      </c>
    </row>
    <row r="16" spans="1:12" ht="17.399999999999999" x14ac:dyDescent="0.25">
      <c r="A16" s="13" t="s">
        <v>43</v>
      </c>
      <c r="B16" s="17">
        <v>3.9909587772966699E-3</v>
      </c>
      <c r="C16" s="17">
        <v>3.9534014633944223E-3</v>
      </c>
      <c r="D16" s="17">
        <v>3.9725754604918858E-3</v>
      </c>
      <c r="E16" s="17">
        <v>4.054580867047076E-3</v>
      </c>
      <c r="F16" s="17">
        <v>4.09964569032831E-3</v>
      </c>
      <c r="G16" s="17">
        <v>4.1461732721509992E-3</v>
      </c>
      <c r="H16" s="23">
        <f t="shared" si="0"/>
        <v>-9.4105993065875752E-3</v>
      </c>
      <c r="I16" s="23">
        <f t="shared" si="1"/>
        <v>1.5941555225358988E-2</v>
      </c>
      <c r="J16" s="23">
        <f t="shared" si="2"/>
        <v>3.8891530460624275E-2</v>
      </c>
      <c r="K16" s="25"/>
      <c r="L16" s="25"/>
    </row>
    <row r="17" spans="1:12" ht="17.399999999999999" x14ac:dyDescent="0.25">
      <c r="A17" s="13" t="s">
        <v>44</v>
      </c>
      <c r="B17" s="17">
        <v>0.20342388914182466</v>
      </c>
      <c r="C17" s="17">
        <v>0.20342388914182466</v>
      </c>
      <c r="D17" s="17">
        <v>0.20647524747895207</v>
      </c>
      <c r="E17" s="17">
        <v>0.2109505730400722</v>
      </c>
      <c r="F17" s="17">
        <v>0.21481562693376691</v>
      </c>
      <c r="G17" s="17">
        <v>0.21847725693831971</v>
      </c>
      <c r="H17" s="23">
        <f t="shared" si="0"/>
        <v>0</v>
      </c>
      <c r="I17" s="23">
        <f t="shared" si="1"/>
        <v>3.7000000000000123E-2</v>
      </c>
      <c r="J17" s="23">
        <f t="shared" si="2"/>
        <v>7.4000000000000121E-2</v>
      </c>
      <c r="K17" s="25"/>
      <c r="L17" s="25"/>
    </row>
    <row r="18" spans="1:12" x14ac:dyDescent="0.25">
      <c r="A18" s="13" t="s">
        <v>45</v>
      </c>
      <c r="B18" s="17">
        <v>1.1295451867985711E-2</v>
      </c>
      <c r="C18" s="17">
        <v>9.2417333465337655E-3</v>
      </c>
      <c r="D18" s="17">
        <v>8.3380971970949055E-3</v>
      </c>
      <c r="E18" s="17">
        <v>7.4539713736098421E-3</v>
      </c>
      <c r="F18" s="17">
        <v>6.5061802759597692E-3</v>
      </c>
      <c r="G18" s="17">
        <v>5.5142342300984774E-3</v>
      </c>
      <c r="H18" s="23">
        <f t="shared" si="0"/>
        <v>-0.18181818181818163</v>
      </c>
      <c r="I18" s="23">
        <f t="shared" si="1"/>
        <v>-0.34009090909090917</v>
      </c>
      <c r="J18" s="23">
        <f t="shared" si="2"/>
        <v>-0.51181818181818195</v>
      </c>
      <c r="K18" s="27">
        <v>5.0000000000000001E-3</v>
      </c>
      <c r="L18" s="29">
        <v>7.0000000000000001E-3</v>
      </c>
    </row>
    <row r="19" spans="1:12" s="9" customFormat="1" x14ac:dyDescent="0.25">
      <c r="A19" s="13" t="s">
        <v>46</v>
      </c>
      <c r="B19" s="17">
        <v>3.7943283928040999E-2</v>
      </c>
      <c r="C19" s="17">
        <v>3.1044505032033543E-2</v>
      </c>
      <c r="D19" s="17">
        <v>2.8009042317790254E-2</v>
      </c>
      <c r="E19" s="17">
        <v>2.5039118003059049E-2</v>
      </c>
      <c r="F19" s="17">
        <v>2.1855331542551603E-2</v>
      </c>
      <c r="G19" s="17">
        <v>1.8523221335780007E-2</v>
      </c>
      <c r="H19" s="23">
        <f t="shared" si="0"/>
        <v>-0.18181818181818188</v>
      </c>
      <c r="I19" s="23">
        <f t="shared" si="1"/>
        <v>-0.34009090909090928</v>
      </c>
      <c r="J19" s="23">
        <f t="shared" si="2"/>
        <v>-0.51181818181818206</v>
      </c>
      <c r="K19" s="28"/>
      <c r="L19" s="30"/>
    </row>
    <row r="20" spans="1:12" ht="17.399999999999999" x14ac:dyDescent="0.25">
      <c r="A20" s="13" t="s">
        <v>47</v>
      </c>
      <c r="B20" s="17">
        <f>B11+B12+B13+B14+B17</f>
        <v>0.32060130989188029</v>
      </c>
      <c r="C20" s="17">
        <f t="shared" ref="C20:G20" si="3">C11+C12+C13+C14+C17</f>
        <v>0.34322481441603625</v>
      </c>
      <c r="D20" s="17">
        <f t="shared" si="3"/>
        <v>0.37908741247035754</v>
      </c>
      <c r="E20" s="17">
        <f t="shared" si="3"/>
        <v>0.40716294745873971</v>
      </c>
      <c r="F20" s="17">
        <f t="shared" si="3"/>
        <v>0.43204695050525976</v>
      </c>
      <c r="G20" s="17">
        <f t="shared" si="3"/>
        <v>0.4605305433671239</v>
      </c>
      <c r="H20" s="23">
        <f t="shared" si="0"/>
        <v>7.0565851810728775E-2</v>
      </c>
      <c r="I20" s="23">
        <f t="shared" si="1"/>
        <v>0.26999776637235667</v>
      </c>
      <c r="J20" s="23">
        <f t="shared" si="2"/>
        <v>0.43645870792740488</v>
      </c>
      <c r="K20" s="25"/>
      <c r="L20" s="25"/>
    </row>
    <row r="21" spans="1:12" s="9" customFormat="1" x14ac:dyDescent="0.25">
      <c r="A21" s="8"/>
      <c r="K21" s="6"/>
      <c r="L21" s="6"/>
    </row>
    <row r="22" spans="1:12" x14ac:dyDescent="0.25">
      <c r="K22" s="10"/>
      <c r="L22" s="10"/>
    </row>
  </sheetData>
  <mergeCells count="2">
    <mergeCell ref="K18:K19"/>
    <mergeCell ref="L18:L19"/>
  </mergeCells>
  <hyperlinks>
    <hyperlink ref="A1" location="Contenido!A1" display="Contenido" xr:uid="{6106CCAC-85D3-4A58-8C19-CA66F038BC4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A0D9-406D-4699-ABA1-7CB4A52D50F8}">
  <sheetPr>
    <tabColor rgb="FFD18316"/>
  </sheetPr>
  <dimension ref="A1:L23"/>
  <sheetViews>
    <sheetView topLeftCell="A3" zoomScale="70" zoomScaleNormal="70" workbookViewId="0">
      <selection activeCell="K3" sqref="K1:L104857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2" x14ac:dyDescent="0.25">
      <c r="A1" s="1" t="s">
        <v>0</v>
      </c>
    </row>
    <row r="2" spans="1:12" x14ac:dyDescent="0.25">
      <c r="A2" s="1"/>
    </row>
    <row r="3" spans="1:12" ht="15.6" x14ac:dyDescent="0.3">
      <c r="A3" s="4" t="s">
        <v>11</v>
      </c>
    </row>
    <row r="4" spans="1:12" x14ac:dyDescent="0.25">
      <c r="A4" s="14" t="s">
        <v>20</v>
      </c>
      <c r="B4" s="15" t="s">
        <v>21</v>
      </c>
      <c r="C4" s="15" t="s">
        <v>22</v>
      </c>
      <c r="D4" s="15" t="s">
        <v>23</v>
      </c>
      <c r="E4" s="15" t="s">
        <v>24</v>
      </c>
      <c r="F4" s="15" t="s">
        <v>25</v>
      </c>
      <c r="G4" s="16" t="s">
        <v>26</v>
      </c>
      <c r="H4" s="20" t="s">
        <v>27</v>
      </c>
      <c r="I4" s="20" t="s">
        <v>28</v>
      </c>
      <c r="J4" s="20" t="s">
        <v>29</v>
      </c>
      <c r="K4" s="21" t="s">
        <v>30</v>
      </c>
      <c r="L4" s="22" t="s">
        <v>31</v>
      </c>
    </row>
    <row r="5" spans="1:12" x14ac:dyDescent="0.25">
      <c r="A5" s="13" t="s">
        <v>32</v>
      </c>
      <c r="B5" s="17">
        <v>5.0803383886415805</v>
      </c>
      <c r="C5" s="17">
        <v>4.4472467056126286</v>
      </c>
      <c r="D5" s="17">
        <v>4.2022914433280389</v>
      </c>
      <c r="E5" s="17">
        <v>3.9624342469784106</v>
      </c>
      <c r="F5" s="17">
        <v>3.7800035753745567</v>
      </c>
      <c r="G5" s="17">
        <v>3.5605478691635244</v>
      </c>
      <c r="H5" s="23">
        <f>+(C5-B5)/B5</f>
        <v>-0.1246160461366891</v>
      </c>
      <c r="I5" s="23">
        <f>(E5-B5)/B5</f>
        <v>-0.22004521276821554</v>
      </c>
      <c r="J5" s="23">
        <f>(G5-B5)/B5</f>
        <v>-0.29915143504533942</v>
      </c>
      <c r="K5" s="24">
        <v>1</v>
      </c>
      <c r="L5" s="24">
        <v>3.5</v>
      </c>
    </row>
    <row r="6" spans="1:12" x14ac:dyDescent="0.25">
      <c r="A6" s="13" t="s">
        <v>33</v>
      </c>
      <c r="B6" s="17">
        <v>0.85085573549508464</v>
      </c>
      <c r="C6" s="17">
        <v>0.77397935547981156</v>
      </c>
      <c r="D6" s="17">
        <v>0.74774366276743254</v>
      </c>
      <c r="E6" s="17">
        <v>0.72376467717608151</v>
      </c>
      <c r="F6" s="17">
        <v>0.70605715028599292</v>
      </c>
      <c r="G6" s="17">
        <v>0.67984673997115053</v>
      </c>
      <c r="H6" s="23">
        <f t="shared" ref="H6:H20" si="0">+(C6-B6)/B6</f>
        <v>-9.0351838517655728E-2</v>
      </c>
      <c r="I6" s="23">
        <f t="shared" ref="I6:I20" si="1">(E6-B6)/B6</f>
        <v>-0.14936851573910245</v>
      </c>
      <c r="J6" s="23">
        <f t="shared" ref="J6:J20" si="2">(G6-B6)/B6</f>
        <v>-0.20098471267215431</v>
      </c>
      <c r="K6" s="24">
        <v>0.1</v>
      </c>
      <c r="L6" s="24">
        <v>0.27300000000000002</v>
      </c>
    </row>
    <row r="7" spans="1:12" ht="17.399999999999999" x14ac:dyDescent="0.25">
      <c r="A7" s="13" t="s">
        <v>34</v>
      </c>
      <c r="B7" s="17">
        <v>0.49297078815026435</v>
      </c>
      <c r="C7" s="17">
        <v>0.45498574519017204</v>
      </c>
      <c r="D7" s="17">
        <v>0.45984380525280844</v>
      </c>
      <c r="E7" s="17">
        <v>0.46439114816476046</v>
      </c>
      <c r="F7" s="17">
        <v>0.48085938766754222</v>
      </c>
      <c r="G7" s="17">
        <v>0.47634836083879356</v>
      </c>
      <c r="H7" s="23">
        <f t="shared" si="0"/>
        <v>-7.7053334341818935E-2</v>
      </c>
      <c r="I7" s="23">
        <f t="shared" si="1"/>
        <v>-5.7974307347380634E-2</v>
      </c>
      <c r="J7" s="23">
        <f t="shared" si="2"/>
        <v>-3.3718889051908778E-2</v>
      </c>
      <c r="K7" s="25"/>
      <c r="L7" s="25"/>
    </row>
    <row r="8" spans="1:12" x14ac:dyDescent="0.25">
      <c r="A8" s="13" t="s">
        <v>35</v>
      </c>
      <c r="B8" s="17">
        <v>0.36619112772892587</v>
      </c>
      <c r="C8" s="17">
        <v>0.31862399772488575</v>
      </c>
      <c r="D8" s="17">
        <v>0.30857428025469574</v>
      </c>
      <c r="E8" s="17">
        <v>0.29251728992511078</v>
      </c>
      <c r="F8" s="17">
        <v>0.27987074592590522</v>
      </c>
      <c r="G8" s="17">
        <v>0.26501731407431806</v>
      </c>
      <c r="H8" s="23">
        <f t="shared" si="0"/>
        <v>-0.12989700296412379</v>
      </c>
      <c r="I8" s="23">
        <f t="shared" si="1"/>
        <v>-0.20118957622138889</v>
      </c>
      <c r="J8" s="23">
        <f t="shared" si="2"/>
        <v>-0.27628690591734395</v>
      </c>
      <c r="K8" s="24">
        <v>0.06</v>
      </c>
      <c r="L8" s="24">
        <v>0.20300000000000001</v>
      </c>
    </row>
    <row r="9" spans="1:12" ht="17.399999999999999" x14ac:dyDescent="0.25">
      <c r="A9" s="13" t="s">
        <v>36</v>
      </c>
      <c r="B9" s="17">
        <v>2.0640915839276837E-3</v>
      </c>
      <c r="C9" s="17">
        <v>1.7521937146865677E-3</v>
      </c>
      <c r="D9" s="17">
        <v>1.6201884517670004E-3</v>
      </c>
      <c r="E9" s="17">
        <v>1.4935867917269337E-3</v>
      </c>
      <c r="F9" s="17">
        <v>1.356270337831089E-3</v>
      </c>
      <c r="G9" s="17">
        <v>1.2118994264434582E-3</v>
      </c>
      <c r="H9" s="23">
        <f t="shared" si="0"/>
        <v>-0.15110660382986349</v>
      </c>
      <c r="I9" s="23">
        <f t="shared" si="1"/>
        <v>-0.2763950963431368</v>
      </c>
      <c r="J9" s="23">
        <f t="shared" si="2"/>
        <v>-0.41286547753981945</v>
      </c>
      <c r="K9" s="25"/>
      <c r="L9" s="25"/>
    </row>
    <row r="10" spans="1:12" ht="17.399999999999999" x14ac:dyDescent="0.25">
      <c r="A10" s="13" t="s">
        <v>37</v>
      </c>
      <c r="B10" s="17">
        <v>7.0401804597209489E-2</v>
      </c>
      <c r="C10" s="17">
        <v>6.9007709456670674E-2</v>
      </c>
      <c r="D10" s="17">
        <v>6.9335321814697273E-2</v>
      </c>
      <c r="E10" s="17">
        <v>7.0115318045828712E-2</v>
      </c>
      <c r="F10" s="17">
        <v>7.0663894483630779E-2</v>
      </c>
      <c r="G10" s="17">
        <v>7.1119763594586966E-2</v>
      </c>
      <c r="H10" s="23">
        <f t="shared" si="0"/>
        <v>-1.9801980198019986E-2</v>
      </c>
      <c r="I10" s="23">
        <f t="shared" si="1"/>
        <v>-4.0693069306938232E-3</v>
      </c>
      <c r="J10" s="23">
        <f t="shared" si="2"/>
        <v>1.0198019801980113E-2</v>
      </c>
      <c r="K10" s="25"/>
      <c r="L10" s="25"/>
    </row>
    <row r="11" spans="1:12" ht="17.399999999999999" x14ac:dyDescent="0.25">
      <c r="A11" s="13" t="s">
        <v>38</v>
      </c>
      <c r="B11" s="17">
        <v>4.2832745689734639E-3</v>
      </c>
      <c r="C11" s="17">
        <v>3.7509833748127284E-3</v>
      </c>
      <c r="D11" s="17">
        <v>3.5452071171269629E-3</v>
      </c>
      <c r="E11" s="17">
        <v>3.3437999871763872E-3</v>
      </c>
      <c r="F11" s="17">
        <v>3.1906404900693556E-3</v>
      </c>
      <c r="G11" s="17">
        <v>2.9802151643805669E-3</v>
      </c>
      <c r="H11" s="23">
        <f t="shared" si="0"/>
        <v>-0.12427202262877704</v>
      </c>
      <c r="I11" s="23">
        <f t="shared" si="1"/>
        <v>-0.21933559632209909</v>
      </c>
      <c r="J11" s="23">
        <f t="shared" si="2"/>
        <v>-0.3042203770992879</v>
      </c>
      <c r="K11" s="25"/>
      <c r="L11" s="25"/>
    </row>
    <row r="12" spans="1:12" ht="17.399999999999999" x14ac:dyDescent="0.25">
      <c r="A12" s="13" t="s">
        <v>39</v>
      </c>
      <c r="B12" s="17">
        <v>1.1910472660336633E-2</v>
      </c>
      <c r="C12" s="17">
        <v>2.0057466671341718E-2</v>
      </c>
      <c r="D12" s="17">
        <v>3.0544810882269242E-2</v>
      </c>
      <c r="E12" s="17">
        <v>4.161413885475105E-2</v>
      </c>
      <c r="F12" s="17">
        <v>4.7552236216633556E-2</v>
      </c>
      <c r="G12" s="17">
        <v>5.6188113313916051E-2</v>
      </c>
      <c r="H12" s="23">
        <f t="shared" si="0"/>
        <v>0.68401937046004868</v>
      </c>
      <c r="I12" s="23">
        <f t="shared" si="1"/>
        <v>2.4939116222760287</v>
      </c>
      <c r="J12" s="23">
        <f t="shared" si="2"/>
        <v>3.7175384987893483</v>
      </c>
      <c r="K12" s="25"/>
      <c r="L12" s="25"/>
    </row>
    <row r="13" spans="1:12" ht="17.399999999999999" x14ac:dyDescent="0.25">
      <c r="A13" s="13" t="s">
        <v>40</v>
      </c>
      <c r="B13" s="17">
        <v>4.701793338109192E-2</v>
      </c>
      <c r="C13" s="17">
        <v>5.3286991165237496E-2</v>
      </c>
      <c r="D13" s="17">
        <v>6.2570420900593074E-2</v>
      </c>
      <c r="E13" s="17">
        <v>6.5551880298436324E-2</v>
      </c>
      <c r="F13" s="17">
        <v>7.2517952823882501E-2</v>
      </c>
      <c r="G13" s="17">
        <v>7.8944050505520932E-2</v>
      </c>
      <c r="H13" s="23">
        <f t="shared" si="0"/>
        <v>0.13333333333333305</v>
      </c>
      <c r="I13" s="23">
        <f t="shared" si="1"/>
        <v>0.39418888888888848</v>
      </c>
      <c r="J13" s="23">
        <f t="shared" si="2"/>
        <v>0.67901999999999951</v>
      </c>
      <c r="K13" s="25"/>
      <c r="L13" s="25"/>
    </row>
    <row r="14" spans="1:12" ht="17.399999999999999" x14ac:dyDescent="0.25">
      <c r="A14" s="13" t="s">
        <v>41</v>
      </c>
      <c r="B14" s="17">
        <v>1.2937089073424217E-2</v>
      </c>
      <c r="C14" s="17">
        <v>1.1780141938064502E-2</v>
      </c>
      <c r="D14" s="17">
        <v>1.1593685412716851E-2</v>
      </c>
      <c r="E14" s="17">
        <v>1.1497418531550957E-2</v>
      </c>
      <c r="F14" s="17">
        <v>1.0995625574458774E-2</v>
      </c>
      <c r="G14" s="17">
        <v>1.0640774479492935E-2</v>
      </c>
      <c r="H14" s="23">
        <f t="shared" si="0"/>
        <v>-8.9428706009016576E-2</v>
      </c>
      <c r="I14" s="23">
        <f t="shared" si="1"/>
        <v>-0.11128241706479997</v>
      </c>
      <c r="J14" s="23">
        <f t="shared" si="2"/>
        <v>-0.17749855326021097</v>
      </c>
      <c r="K14" s="25"/>
      <c r="L14" s="25"/>
    </row>
    <row r="15" spans="1:12" x14ac:dyDescent="0.25">
      <c r="A15" s="13" t="s">
        <v>42</v>
      </c>
      <c r="B15" s="17">
        <v>180.82213478340771</v>
      </c>
      <c r="C15" s="17">
        <v>171.78102804423736</v>
      </c>
      <c r="D15" s="17">
        <v>168.32732526987419</v>
      </c>
      <c r="E15" s="17">
        <v>166.61829777883551</v>
      </c>
      <c r="F15" s="17">
        <v>165.89772737669489</v>
      </c>
      <c r="G15" s="17">
        <v>162.83975526133437</v>
      </c>
      <c r="H15" s="23">
        <f t="shared" si="0"/>
        <v>-4.9999999999999781E-2</v>
      </c>
      <c r="I15" s="23">
        <f t="shared" si="1"/>
        <v>-7.8551428571429202E-2</v>
      </c>
      <c r="J15" s="23">
        <f t="shared" si="2"/>
        <v>-9.9447888631626749E-2</v>
      </c>
      <c r="K15" s="24">
        <v>95</v>
      </c>
      <c r="L15" s="24">
        <v>255</v>
      </c>
    </row>
    <row r="16" spans="1:12" ht="17.399999999999999" x14ac:dyDescent="0.25">
      <c r="A16" s="13" t="s">
        <v>43</v>
      </c>
      <c r="B16" s="17">
        <v>2.2004338845796685E-3</v>
      </c>
      <c r="C16" s="17">
        <v>2.1797264829912523E-3</v>
      </c>
      <c r="D16" s="17">
        <v>2.1902981564337594E-3</v>
      </c>
      <c r="E16" s="17">
        <v>2.2355122228704472E-3</v>
      </c>
      <c r="F16" s="17">
        <v>2.2603589250500648E-3</v>
      </c>
      <c r="G16" s="17">
        <v>2.2860121260283891E-3</v>
      </c>
      <c r="H16" s="23">
        <f t="shared" si="0"/>
        <v>-9.4105993065870981E-3</v>
      </c>
      <c r="I16" s="23">
        <f t="shared" si="1"/>
        <v>1.594155522535929E-2</v>
      </c>
      <c r="J16" s="23">
        <f t="shared" si="2"/>
        <v>3.889153046062456E-2</v>
      </c>
      <c r="K16" s="25"/>
      <c r="L16" s="25"/>
    </row>
    <row r="17" spans="1:12" ht="17.399999999999999" x14ac:dyDescent="0.25">
      <c r="A17" s="13" t="s">
        <v>44</v>
      </c>
      <c r="B17" s="17">
        <v>0.19847946801999755</v>
      </c>
      <c r="C17" s="17">
        <v>0.19847946801999755</v>
      </c>
      <c r="D17" s="17">
        <v>0.2014566600402975</v>
      </c>
      <c r="E17" s="17">
        <v>0.20582320833673748</v>
      </c>
      <c r="F17" s="17">
        <v>0.20959431822911748</v>
      </c>
      <c r="G17" s="17">
        <v>0.21316694865347741</v>
      </c>
      <c r="H17" s="23">
        <f t="shared" si="0"/>
        <v>0</v>
      </c>
      <c r="I17" s="23">
        <f t="shared" si="1"/>
        <v>3.7000000000000088E-2</v>
      </c>
      <c r="J17" s="23">
        <f t="shared" si="2"/>
        <v>7.4000000000000177E-2</v>
      </c>
      <c r="K17" s="25"/>
      <c r="L17" s="25"/>
    </row>
    <row r="18" spans="1:12" x14ac:dyDescent="0.25">
      <c r="A18" s="13" t="s">
        <v>45</v>
      </c>
      <c r="B18" s="17">
        <v>1.1086791755620008E-2</v>
      </c>
      <c r="C18" s="17">
        <v>9.0710114364163687E-3</v>
      </c>
      <c r="D18" s="17">
        <v>8.1840680959667667E-3</v>
      </c>
      <c r="E18" s="17">
        <v>7.3162746685496013E-3</v>
      </c>
      <c r="F18" s="17">
        <v>6.3859920512371222E-3</v>
      </c>
      <c r="G18" s="17">
        <v>5.4123701570617669E-3</v>
      </c>
      <c r="H18" s="23">
        <f t="shared" si="0"/>
        <v>-0.18181818181818193</v>
      </c>
      <c r="I18" s="23">
        <f t="shared" si="1"/>
        <v>-0.34009090909090928</v>
      </c>
      <c r="J18" s="23">
        <f t="shared" si="2"/>
        <v>-0.51181818181818184</v>
      </c>
      <c r="K18" s="27">
        <v>5.0000000000000001E-3</v>
      </c>
      <c r="L18" s="29">
        <v>7.0000000000000001E-3</v>
      </c>
    </row>
    <row r="19" spans="1:12" s="9" customFormat="1" x14ac:dyDescent="0.25">
      <c r="A19" s="13" t="s">
        <v>46</v>
      </c>
      <c r="B19" s="17">
        <v>3.1477658491980282E-2</v>
      </c>
      <c r="C19" s="17">
        <v>2.5754447857074775E-2</v>
      </c>
      <c r="D19" s="17">
        <v>2.3236235177716353E-2</v>
      </c>
      <c r="E19" s="17">
        <v>2.0772392999389527E-2</v>
      </c>
      <c r="F19" s="17">
        <v>1.813113129138064E-2</v>
      </c>
      <c r="G19" s="17">
        <v>1.5366820554721281E-2</v>
      </c>
      <c r="H19" s="23">
        <f t="shared" si="0"/>
        <v>-0.18181818181818182</v>
      </c>
      <c r="I19" s="23">
        <f t="shared" si="1"/>
        <v>-0.34009090909090928</v>
      </c>
      <c r="J19" s="23">
        <f t="shared" si="2"/>
        <v>-0.51181818181818195</v>
      </c>
      <c r="K19" s="28"/>
      <c r="L19" s="30"/>
    </row>
    <row r="20" spans="1:12" ht="17.399999999999999" x14ac:dyDescent="0.25">
      <c r="A20" s="13" t="s">
        <v>47</v>
      </c>
      <c r="B20" s="17">
        <f>B11+B12+B13+B14+B17</f>
        <v>0.27462823770382377</v>
      </c>
      <c r="C20" s="17">
        <f t="shared" ref="C20:G20" si="3">C11+C12+C13+C14+C17</f>
        <v>0.28735505116945403</v>
      </c>
      <c r="D20" s="17">
        <f t="shared" si="3"/>
        <v>0.30971078435300364</v>
      </c>
      <c r="E20" s="17">
        <f t="shared" si="3"/>
        <v>0.32783044600865219</v>
      </c>
      <c r="F20" s="17">
        <f t="shared" si="3"/>
        <v>0.3438507733341617</v>
      </c>
      <c r="G20" s="17">
        <f t="shared" si="3"/>
        <v>0.36192010211678793</v>
      </c>
      <c r="H20" s="23">
        <f t="shared" si="0"/>
        <v>4.634196968250457E-2</v>
      </c>
      <c r="I20" s="23">
        <f t="shared" si="1"/>
        <v>0.1937244645694628</v>
      </c>
      <c r="J20" s="23">
        <f t="shared" si="2"/>
        <v>0.31785465741911489</v>
      </c>
      <c r="K20" s="25"/>
      <c r="L20" s="25"/>
    </row>
    <row r="22" spans="1:12" x14ac:dyDescent="0.25">
      <c r="K22" s="10"/>
      <c r="L22" s="10"/>
    </row>
    <row r="23" spans="1:12" s="9" customFormat="1" x14ac:dyDescent="0.25">
      <c r="A23" s="8"/>
      <c r="B23" s="6"/>
      <c r="C23" s="6"/>
      <c r="D23" s="6"/>
      <c r="E23" s="6"/>
      <c r="F23" s="6"/>
      <c r="G23" s="6"/>
      <c r="K23" s="6"/>
      <c r="L23" s="6"/>
    </row>
  </sheetData>
  <mergeCells count="2">
    <mergeCell ref="K18:K19"/>
    <mergeCell ref="L18:L19"/>
  </mergeCells>
  <hyperlinks>
    <hyperlink ref="A1" location="Contenido!A1" display="Contenido" xr:uid="{10E91FF6-4B7A-45A8-B6A7-977A86B1464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E847-B5F6-41FC-AC63-71AC56D66BB2}">
  <sheetPr>
    <tabColor rgb="FFD18316"/>
  </sheetPr>
  <dimension ref="A1:L22"/>
  <sheetViews>
    <sheetView topLeftCell="A3" zoomScale="70" zoomScaleNormal="70" workbookViewId="0">
      <selection activeCell="K3" sqref="K1:L104857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2" x14ac:dyDescent="0.25">
      <c r="A1" s="1" t="s">
        <v>0</v>
      </c>
    </row>
    <row r="2" spans="1:12" x14ac:dyDescent="0.25">
      <c r="A2" s="1"/>
    </row>
    <row r="3" spans="1:12" ht="15.6" x14ac:dyDescent="0.3">
      <c r="A3" s="4" t="s">
        <v>12</v>
      </c>
    </row>
    <row r="4" spans="1:12" x14ac:dyDescent="0.25">
      <c r="A4" s="14" t="s">
        <v>20</v>
      </c>
      <c r="B4" s="15" t="s">
        <v>21</v>
      </c>
      <c r="C4" s="15" t="s">
        <v>22</v>
      </c>
      <c r="D4" s="15" t="s">
        <v>23</v>
      </c>
      <c r="E4" s="15" t="s">
        <v>24</v>
      </c>
      <c r="F4" s="15" t="s">
        <v>25</v>
      </c>
      <c r="G4" s="16" t="s">
        <v>26</v>
      </c>
      <c r="H4" s="20" t="s">
        <v>27</v>
      </c>
      <c r="I4" s="20" t="s">
        <v>28</v>
      </c>
      <c r="J4" s="20" t="s">
        <v>29</v>
      </c>
      <c r="K4" s="21" t="s">
        <v>30</v>
      </c>
      <c r="L4" s="22" t="s">
        <v>31</v>
      </c>
    </row>
    <row r="5" spans="1:12" x14ac:dyDescent="0.25">
      <c r="A5" s="13" t="s">
        <v>32</v>
      </c>
      <c r="B5" s="17">
        <v>9.1213381101019486</v>
      </c>
      <c r="C5" s="17">
        <v>7.6673572917945103</v>
      </c>
      <c r="D5" s="17">
        <v>7.0665891377011159</v>
      </c>
      <c r="E5" s="17">
        <v>6.4597049518735057</v>
      </c>
      <c r="F5" s="17">
        <v>5.9923476017733588</v>
      </c>
      <c r="G5" s="17">
        <v>5.4123486848120201</v>
      </c>
      <c r="H5" s="23">
        <f>+(C5-B5)/B5</f>
        <v>-0.15940433308761398</v>
      </c>
      <c r="I5" s="23">
        <f>(E5-B5)/B5</f>
        <v>-0.29180292695001236</v>
      </c>
      <c r="J5" s="23">
        <f>(G5-B5)/B5</f>
        <v>-0.40662777549953943</v>
      </c>
      <c r="K5" s="24">
        <v>1</v>
      </c>
      <c r="L5" s="24">
        <v>3.5</v>
      </c>
    </row>
    <row r="6" spans="1:12" x14ac:dyDescent="0.25">
      <c r="A6" s="13" t="s">
        <v>33</v>
      </c>
      <c r="B6" s="17">
        <v>1.0963849177768412</v>
      </c>
      <c r="C6" s="17">
        <v>0.96686216920966506</v>
      </c>
      <c r="D6" s="17">
        <v>0.91760249961257356</v>
      </c>
      <c r="E6" s="17">
        <v>0.86978490389578844</v>
      </c>
      <c r="F6" s="17">
        <v>0.83354503566924842</v>
      </c>
      <c r="G6" s="17">
        <v>0.78331650458171931</v>
      </c>
      <c r="H6" s="23">
        <f t="shared" ref="H6:H20" si="0">+(C6-B6)/B6</f>
        <v>-0.11813620058711834</v>
      </c>
      <c r="I6" s="23">
        <f t="shared" ref="I6:I20" si="1">(E6-B6)/B6</f>
        <v>-0.20667925124374528</v>
      </c>
      <c r="J6" s="23">
        <f t="shared" ref="J6:J20" si="2">(G6-B6)/B6</f>
        <v>-0.28554607795037545</v>
      </c>
      <c r="K6" s="24">
        <v>0.1</v>
      </c>
      <c r="L6" s="24">
        <v>0.27300000000000002</v>
      </c>
    </row>
    <row r="7" spans="1:12" ht="17.399999999999999" x14ac:dyDescent="0.25">
      <c r="A7" s="13" t="s">
        <v>34</v>
      </c>
      <c r="B7" s="17">
        <v>0.49297078815026435</v>
      </c>
      <c r="C7" s="17">
        <v>0.45498574519017204</v>
      </c>
      <c r="D7" s="17">
        <v>0.45984380525280844</v>
      </c>
      <c r="E7" s="17">
        <v>0.46439114816476046</v>
      </c>
      <c r="F7" s="17">
        <v>0.48085938766754222</v>
      </c>
      <c r="G7" s="17">
        <v>0.47634836083879356</v>
      </c>
      <c r="H7" s="23">
        <f t="shared" si="0"/>
        <v>-7.7053334341818935E-2</v>
      </c>
      <c r="I7" s="23">
        <f t="shared" si="1"/>
        <v>-5.7974307347380634E-2</v>
      </c>
      <c r="J7" s="23">
        <f t="shared" si="2"/>
        <v>-3.3718889051908778E-2</v>
      </c>
      <c r="K7" s="25"/>
      <c r="L7" s="25"/>
    </row>
    <row r="8" spans="1:12" x14ac:dyDescent="0.25">
      <c r="A8" s="13" t="s">
        <v>35</v>
      </c>
      <c r="B8" s="17">
        <v>0.67649822998239117</v>
      </c>
      <c r="C8" s="17">
        <v>0.59008610182248111</v>
      </c>
      <c r="D8" s="17">
        <v>0.57302719657640133</v>
      </c>
      <c r="E8" s="17">
        <v>0.54494512010493834</v>
      </c>
      <c r="F8" s="17">
        <v>0.52321028669022118</v>
      </c>
      <c r="G8" s="17">
        <v>0.49744674612605738</v>
      </c>
      <c r="H8" s="23">
        <f t="shared" si="0"/>
        <v>-0.12773444826627162</v>
      </c>
      <c r="I8" s="23">
        <f t="shared" si="1"/>
        <v>-0.19446186855637018</v>
      </c>
      <c r="J8" s="23">
        <f t="shared" si="2"/>
        <v>-0.26467398718987689</v>
      </c>
      <c r="K8" s="24">
        <v>0.06</v>
      </c>
      <c r="L8" s="24">
        <v>0.20300000000000001</v>
      </c>
    </row>
    <row r="9" spans="1:12" ht="17.399999999999999" x14ac:dyDescent="0.25">
      <c r="A9" s="13" t="s">
        <v>36</v>
      </c>
      <c r="B9" s="17">
        <v>2.0757784069945022E-3</v>
      </c>
      <c r="C9" s="17">
        <v>1.7621145816101994E-3</v>
      </c>
      <c r="D9" s="17">
        <v>1.6293619089518179E-3</v>
      </c>
      <c r="E9" s="17">
        <v>1.5020434342062538E-3</v>
      </c>
      <c r="F9" s="17">
        <v>1.3639494987716337E-3</v>
      </c>
      <c r="G9" s="17">
        <v>1.2187611637238705E-3</v>
      </c>
      <c r="H9" s="23">
        <f t="shared" si="0"/>
        <v>-0.15110660382986321</v>
      </c>
      <c r="I9" s="23">
        <f t="shared" si="1"/>
        <v>-0.27639509634313675</v>
      </c>
      <c r="J9" s="23">
        <f t="shared" si="2"/>
        <v>-0.41286547753981989</v>
      </c>
      <c r="K9" s="25"/>
      <c r="L9" s="25"/>
    </row>
    <row r="10" spans="1:12" ht="17.399999999999999" x14ac:dyDescent="0.25">
      <c r="A10" s="13" t="s">
        <v>37</v>
      </c>
      <c r="B10" s="17">
        <v>6.6734681434310425E-2</v>
      </c>
      <c r="C10" s="17">
        <v>6.5413202594027067E-2</v>
      </c>
      <c r="D10" s="17">
        <v>6.5723750121493632E-2</v>
      </c>
      <c r="E10" s="17">
        <v>6.646311753263219E-2</v>
      </c>
      <c r="F10" s="17">
        <v>6.6983119456283699E-2</v>
      </c>
      <c r="G10" s="17">
        <v>6.7415243037056358E-2</v>
      </c>
      <c r="H10" s="23">
        <f t="shared" si="0"/>
        <v>-1.9801980198019545E-2</v>
      </c>
      <c r="I10" s="23">
        <f t="shared" si="1"/>
        <v>-4.0693069306930842E-3</v>
      </c>
      <c r="J10" s="23">
        <f t="shared" si="2"/>
        <v>1.0198019801980119E-2</v>
      </c>
      <c r="K10" s="25"/>
      <c r="L10" s="25"/>
    </row>
    <row r="11" spans="1:12" ht="17.399999999999999" x14ac:dyDescent="0.25">
      <c r="A11" s="13" t="s">
        <v>38</v>
      </c>
      <c r="B11" s="17">
        <v>8.9920625579720144E-3</v>
      </c>
      <c r="C11" s="17">
        <v>8.1237971176941915E-3</v>
      </c>
      <c r="D11" s="17">
        <v>7.8182166981789654E-3</v>
      </c>
      <c r="E11" s="17">
        <v>7.5337998782172098E-3</v>
      </c>
      <c r="F11" s="17">
        <v>7.3220681285425821E-3</v>
      </c>
      <c r="G11" s="17">
        <v>7.0149199660828748E-3</v>
      </c>
      <c r="H11" s="23">
        <f t="shared" si="0"/>
        <v>-9.6559096945789416E-2</v>
      </c>
      <c r="I11" s="23">
        <f t="shared" si="1"/>
        <v>-0.16217221247665425</v>
      </c>
      <c r="J11" s="23">
        <f t="shared" si="2"/>
        <v>-0.21987642758738166</v>
      </c>
      <c r="K11" s="25"/>
      <c r="L11" s="25"/>
    </row>
    <row r="12" spans="1:12" ht="17.399999999999999" x14ac:dyDescent="0.25">
      <c r="A12" s="13" t="s">
        <v>39</v>
      </c>
      <c r="B12" s="17">
        <v>2.0631081266172361E-2</v>
      </c>
      <c r="C12" s="17">
        <v>3.4743140485769673E-2</v>
      </c>
      <c r="D12" s="17">
        <v>5.2909107265786022E-2</v>
      </c>
      <c r="E12" s="17">
        <v>7.2083174616000875E-2</v>
      </c>
      <c r="F12" s="17">
        <v>8.2369027472824402E-2</v>
      </c>
      <c r="G12" s="17">
        <v>9.7327920144819779E-2</v>
      </c>
      <c r="H12" s="23">
        <f t="shared" si="0"/>
        <v>0.68401937046004824</v>
      </c>
      <c r="I12" s="23">
        <f t="shared" si="1"/>
        <v>2.4939116222760296</v>
      </c>
      <c r="J12" s="23">
        <f t="shared" si="2"/>
        <v>3.7175384987893469</v>
      </c>
      <c r="K12" s="25"/>
      <c r="L12" s="25"/>
    </row>
    <row r="13" spans="1:12" ht="17.399999999999999" x14ac:dyDescent="0.25">
      <c r="A13" s="13" t="s">
        <v>40</v>
      </c>
      <c r="B13" s="17">
        <v>7.4581862284586506E-2</v>
      </c>
      <c r="C13" s="17">
        <v>8.4526110589198053E-2</v>
      </c>
      <c r="D13" s="17">
        <v>9.9251884953610259E-2</v>
      </c>
      <c r="E13" s="17">
        <v>0.10398120370981176</v>
      </c>
      <c r="F13" s="17">
        <v>0.11503108668842438</v>
      </c>
      <c r="G13" s="17">
        <v>0.12522443841306644</v>
      </c>
      <c r="H13" s="23">
        <f t="shared" si="0"/>
        <v>0.1333333333333335</v>
      </c>
      <c r="I13" s="23">
        <f t="shared" si="1"/>
        <v>0.39418888888888848</v>
      </c>
      <c r="J13" s="23">
        <f t="shared" si="2"/>
        <v>0.67901999999999996</v>
      </c>
      <c r="K13" s="25"/>
      <c r="L13" s="25"/>
    </row>
    <row r="14" spans="1:12" ht="17.399999999999999" x14ac:dyDescent="0.25">
      <c r="A14" s="13" t="s">
        <v>41</v>
      </c>
      <c r="B14" s="17">
        <v>1.4689500469859331E-2</v>
      </c>
      <c r="C14" s="17">
        <v>1.3375837450920972E-2</v>
      </c>
      <c r="D14" s="17">
        <v>1.3164124197564069E-2</v>
      </c>
      <c r="E14" s="17">
        <v>1.3054817352098865E-2</v>
      </c>
      <c r="F14" s="17">
        <v>1.2485053331990233E-2</v>
      </c>
      <c r="G14" s="17">
        <v>1.2082135388344109E-2</v>
      </c>
      <c r="H14" s="23">
        <f t="shared" si="0"/>
        <v>-8.9428706009016451E-2</v>
      </c>
      <c r="I14" s="23">
        <f t="shared" si="1"/>
        <v>-0.11128241706480028</v>
      </c>
      <c r="J14" s="23">
        <f t="shared" si="2"/>
        <v>-0.17749855326021108</v>
      </c>
      <c r="K14" s="25"/>
      <c r="L14" s="25"/>
    </row>
    <row r="15" spans="1:12" x14ac:dyDescent="0.25">
      <c r="A15" s="13" t="s">
        <v>42</v>
      </c>
      <c r="B15" s="17">
        <v>181.69937049795243</v>
      </c>
      <c r="C15" s="17">
        <v>172.61440197305473</v>
      </c>
      <c r="D15" s="17">
        <v>169.14394399654387</v>
      </c>
      <c r="E15" s="17">
        <v>167.42662537480894</v>
      </c>
      <c r="F15" s="17">
        <v>166.69797674886502</v>
      </c>
      <c r="G15" s="17">
        <v>163.6252537366469</v>
      </c>
      <c r="H15" s="23">
        <f t="shared" si="0"/>
        <v>-5.0000000000000454E-2</v>
      </c>
      <c r="I15" s="23">
        <f t="shared" si="1"/>
        <v>-7.8551428571428841E-2</v>
      </c>
      <c r="J15" s="23">
        <f t="shared" si="2"/>
        <v>-9.9472643805935526E-2</v>
      </c>
      <c r="K15" s="24">
        <v>95</v>
      </c>
      <c r="L15" s="24">
        <v>255</v>
      </c>
    </row>
    <row r="16" spans="1:12" ht="17.399999999999999" x14ac:dyDescent="0.25">
      <c r="A16" s="13" t="s">
        <v>43</v>
      </c>
      <c r="B16" s="17">
        <v>4.9589876117899431E-3</v>
      </c>
      <c r="C16" s="17">
        <v>4.9123205664090581E-3</v>
      </c>
      <c r="D16" s="17">
        <v>4.9361453211561402E-3</v>
      </c>
      <c r="E16" s="17">
        <v>5.0380415866651635E-3</v>
      </c>
      <c r="F16" s="17">
        <v>5.0940371288016612E-3</v>
      </c>
      <c r="G16" s="17">
        <v>5.1518502295477301E-3</v>
      </c>
      <c r="H16" s="23">
        <f t="shared" si="0"/>
        <v>-9.4105993065872195E-3</v>
      </c>
      <c r="I16" s="23">
        <f t="shared" si="1"/>
        <v>1.5941555225358981E-2</v>
      </c>
      <c r="J16" s="23">
        <f t="shared" si="2"/>
        <v>3.8891530460624275E-2</v>
      </c>
      <c r="K16" s="25"/>
      <c r="L16" s="25"/>
    </row>
    <row r="17" spans="1:12" ht="17.399999999999999" x14ac:dyDescent="0.25">
      <c r="A17" s="13" t="s">
        <v>44</v>
      </c>
      <c r="B17" s="17">
        <v>0.25132362784567636</v>
      </c>
      <c r="C17" s="17">
        <v>0.25132362784567636</v>
      </c>
      <c r="D17" s="17">
        <v>0.25509348226336143</v>
      </c>
      <c r="E17" s="17">
        <v>0.26062260207596633</v>
      </c>
      <c r="F17" s="17">
        <v>0.26539775100503421</v>
      </c>
      <c r="G17" s="17">
        <v>0.26992157630625641</v>
      </c>
      <c r="H17" s="23">
        <f t="shared" si="0"/>
        <v>0</v>
      </c>
      <c r="I17" s="23">
        <f t="shared" si="1"/>
        <v>3.6999999999999776E-2</v>
      </c>
      <c r="J17" s="23">
        <f t="shared" si="2"/>
        <v>7.3999999999999996E-2</v>
      </c>
      <c r="K17" s="25"/>
      <c r="L17" s="25"/>
    </row>
    <row r="18" spans="1:12" x14ac:dyDescent="0.25">
      <c r="A18" s="13" t="s">
        <v>45</v>
      </c>
      <c r="B18" s="17">
        <v>1.0418838566274713E-2</v>
      </c>
      <c r="C18" s="17">
        <v>8.5245042814974942E-3</v>
      </c>
      <c r="D18" s="17">
        <v>7.6909971961955153E-3</v>
      </c>
      <c r="E18" s="17">
        <v>6.8754862865989218E-3</v>
      </c>
      <c r="F18" s="17">
        <v>6.0012510141742356E-3</v>
      </c>
      <c r="G18" s="17">
        <v>5.0862875546268376E-3</v>
      </c>
      <c r="H18" s="23">
        <f t="shared" si="0"/>
        <v>-0.18181818181818163</v>
      </c>
      <c r="I18" s="23">
        <f t="shared" si="1"/>
        <v>-0.34009090909090911</v>
      </c>
      <c r="J18" s="23">
        <f t="shared" si="2"/>
        <v>-0.51181818181818173</v>
      </c>
      <c r="K18" s="27">
        <v>5.0000000000000001E-3</v>
      </c>
      <c r="L18" s="29">
        <v>7.0000000000000001E-3</v>
      </c>
    </row>
    <row r="19" spans="1:12" s="9" customFormat="1" x14ac:dyDescent="0.25">
      <c r="A19" s="13" t="s">
        <v>46</v>
      </c>
      <c r="B19" s="17">
        <v>3.9727646551658509E-2</v>
      </c>
      <c r="C19" s="17">
        <v>3.2504438087720605E-2</v>
      </c>
      <c r="D19" s="17">
        <v>2.932622636358791E-2</v>
      </c>
      <c r="E19" s="17">
        <v>2.6216635119862639E-2</v>
      </c>
      <c r="F19" s="17">
        <v>2.2883124413755299E-2</v>
      </c>
      <c r="G19" s="17">
        <v>1.9394314725673281E-2</v>
      </c>
      <c r="H19" s="23">
        <f t="shared" si="0"/>
        <v>-0.18181818181818166</v>
      </c>
      <c r="I19" s="23">
        <f t="shared" si="1"/>
        <v>-0.34009090909090928</v>
      </c>
      <c r="J19" s="23">
        <f t="shared" si="2"/>
        <v>-0.51181818181818206</v>
      </c>
      <c r="K19" s="28"/>
      <c r="L19" s="30"/>
    </row>
    <row r="20" spans="1:12" ht="17.399999999999999" x14ac:dyDescent="0.25">
      <c r="A20" s="13" t="s">
        <v>47</v>
      </c>
      <c r="B20" s="17">
        <f>B11+B12+B13+B14+B17</f>
        <v>0.37021813442426654</v>
      </c>
      <c r="C20" s="17">
        <f t="shared" ref="C20:G20" si="3">C11+C12+C13+C14+C17</f>
        <v>0.39209251348925922</v>
      </c>
      <c r="D20" s="17">
        <f t="shared" si="3"/>
        <v>0.42823681537850078</v>
      </c>
      <c r="E20" s="17">
        <f t="shared" si="3"/>
        <v>0.45727559763209502</v>
      </c>
      <c r="F20" s="17">
        <f t="shared" si="3"/>
        <v>0.48260498662681584</v>
      </c>
      <c r="G20" s="17">
        <f t="shared" si="3"/>
        <v>0.51157099021856955</v>
      </c>
      <c r="H20" s="23">
        <f t="shared" si="0"/>
        <v>5.9085109644912322E-2</v>
      </c>
      <c r="I20" s="23">
        <f t="shared" si="1"/>
        <v>0.2351518067671462</v>
      </c>
      <c r="J20" s="23">
        <f t="shared" si="2"/>
        <v>0.38180964855793353</v>
      </c>
      <c r="K20" s="25"/>
      <c r="L20" s="25"/>
    </row>
    <row r="21" spans="1:12" s="9" customFormat="1" x14ac:dyDescent="0.25">
      <c r="A21" s="8"/>
      <c r="K21" s="6"/>
      <c r="L21" s="6"/>
    </row>
    <row r="22" spans="1:12" x14ac:dyDescent="0.25">
      <c r="K22" s="10"/>
      <c r="L22" s="10"/>
    </row>
  </sheetData>
  <mergeCells count="2">
    <mergeCell ref="K18:K19"/>
    <mergeCell ref="L18:L19"/>
  </mergeCells>
  <hyperlinks>
    <hyperlink ref="A1" location="Contenido!A1" display="Contenido" xr:uid="{00FA5B80-6DCD-4053-AC2B-F8C455AEB1A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352F-9FD1-4BD1-B555-81919EE14223}">
  <sheetPr>
    <tabColor rgb="FFD18316"/>
  </sheetPr>
  <dimension ref="A1:L22"/>
  <sheetViews>
    <sheetView topLeftCell="A3" zoomScale="70" zoomScaleNormal="70" workbookViewId="0">
      <selection activeCell="K3" sqref="K1:L104857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2" x14ac:dyDescent="0.25">
      <c r="A1" s="1" t="s">
        <v>0</v>
      </c>
    </row>
    <row r="2" spans="1:12" x14ac:dyDescent="0.25">
      <c r="A2" s="1"/>
    </row>
    <row r="3" spans="1:12" ht="15.6" x14ac:dyDescent="0.3">
      <c r="A3" s="4" t="s">
        <v>13</v>
      </c>
    </row>
    <row r="4" spans="1:12" x14ac:dyDescent="0.25">
      <c r="A4" s="14" t="s">
        <v>20</v>
      </c>
      <c r="B4" s="15" t="s">
        <v>21</v>
      </c>
      <c r="C4" s="15" t="s">
        <v>22</v>
      </c>
      <c r="D4" s="15" t="s">
        <v>23</v>
      </c>
      <c r="E4" s="15" t="s">
        <v>24</v>
      </c>
      <c r="F4" s="15" t="s">
        <v>25</v>
      </c>
      <c r="G4" s="16" t="s">
        <v>26</v>
      </c>
      <c r="H4" s="20" t="s">
        <v>27</v>
      </c>
      <c r="I4" s="20" t="s">
        <v>28</v>
      </c>
      <c r="J4" s="20" t="s">
        <v>29</v>
      </c>
      <c r="K4" s="21" t="s">
        <v>30</v>
      </c>
      <c r="L4" s="22" t="s">
        <v>31</v>
      </c>
    </row>
    <row r="5" spans="1:12" x14ac:dyDescent="0.25">
      <c r="A5" s="13" t="s">
        <v>32</v>
      </c>
      <c r="B5" s="17">
        <v>12.295362091587467</v>
      </c>
      <c r="C5" s="17">
        <v>10.735209488090813</v>
      </c>
      <c r="D5" s="17">
        <v>10.128191933208527</v>
      </c>
      <c r="E5" s="17">
        <v>9.5321675397309704</v>
      </c>
      <c r="F5" s="17">
        <v>9.078334521619789</v>
      </c>
      <c r="G5" s="17">
        <v>8.5135762342469974</v>
      </c>
      <c r="H5" s="23">
        <f>+(C5-B5)/B5</f>
        <v>-0.12688952077012161</v>
      </c>
      <c r="I5" s="23">
        <f>(E5-B5)/B5</f>
        <v>-0.22473470331931786</v>
      </c>
      <c r="J5" s="23">
        <f>(G5-B5)/B5</f>
        <v>-0.30757824203713219</v>
      </c>
      <c r="K5" s="24">
        <v>1</v>
      </c>
      <c r="L5" s="24">
        <v>3.5</v>
      </c>
    </row>
    <row r="6" spans="1:12" x14ac:dyDescent="0.25">
      <c r="A6" s="13" t="s">
        <v>33</v>
      </c>
      <c r="B6" s="17">
        <v>1.8487654932350241</v>
      </c>
      <c r="C6" s="17">
        <v>1.7150046611198881</v>
      </c>
      <c r="D6" s="17">
        <v>1.6748807677172273</v>
      </c>
      <c r="E6" s="17">
        <v>1.6412616761046677</v>
      </c>
      <c r="F6" s="17">
        <v>1.6174496260310689</v>
      </c>
      <c r="G6" s="17">
        <v>1.5784746873111939</v>
      </c>
      <c r="H6" s="23">
        <f t="shared" ref="H6:H20" si="0">+(C6-B6)/B6</f>
        <v>-7.2351432674718191E-2</v>
      </c>
      <c r="I6" s="23">
        <f t="shared" ref="I6:I20" si="1">(E6-B6)/B6</f>
        <v>-0.11223912274955987</v>
      </c>
      <c r="J6" s="23">
        <f t="shared" ref="J6:J20" si="2">(G6-B6)/B6</f>
        <v>-0.1462006982025976</v>
      </c>
      <c r="K6" s="24">
        <v>0.1</v>
      </c>
      <c r="L6" s="24">
        <v>0.27300000000000002</v>
      </c>
    </row>
    <row r="7" spans="1:12" ht="17.399999999999999" x14ac:dyDescent="0.25">
      <c r="A7" s="13" t="s">
        <v>34</v>
      </c>
      <c r="B7" s="17">
        <v>0.49297078815026435</v>
      </c>
      <c r="C7" s="17">
        <v>0.45498574519017204</v>
      </c>
      <c r="D7" s="17">
        <v>0.45984380525280844</v>
      </c>
      <c r="E7" s="17">
        <v>0.46439114816476046</v>
      </c>
      <c r="F7" s="17">
        <v>0.48085938766754222</v>
      </c>
      <c r="G7" s="17">
        <v>0.47634836083879356</v>
      </c>
      <c r="H7" s="23">
        <f t="shared" si="0"/>
        <v>-7.7053334341818935E-2</v>
      </c>
      <c r="I7" s="23">
        <f t="shared" si="1"/>
        <v>-5.7974307347380634E-2</v>
      </c>
      <c r="J7" s="23">
        <f t="shared" si="2"/>
        <v>-3.3718889051908778E-2</v>
      </c>
      <c r="K7" s="25"/>
      <c r="L7" s="25"/>
    </row>
    <row r="8" spans="1:12" x14ac:dyDescent="0.25">
      <c r="A8" s="13" t="s">
        <v>35</v>
      </c>
      <c r="B8" s="17">
        <v>0.77181530451435942</v>
      </c>
      <c r="C8" s="17">
        <v>0.67302183422992501</v>
      </c>
      <c r="D8" s="17">
        <v>0.65334711747205942</v>
      </c>
      <c r="E8" s="17">
        <v>0.62108558005153736</v>
      </c>
      <c r="F8" s="17">
        <v>0.596059003733722</v>
      </c>
      <c r="G8" s="17">
        <v>0.56642928426666506</v>
      </c>
      <c r="H8" s="23">
        <f t="shared" si="0"/>
        <v>-0.12800143986079301</v>
      </c>
      <c r="I8" s="23">
        <f t="shared" si="1"/>
        <v>-0.19529247940692757</v>
      </c>
      <c r="J8" s="23">
        <f t="shared" si="2"/>
        <v>-0.26610773205245919</v>
      </c>
      <c r="K8" s="24">
        <v>0.06</v>
      </c>
      <c r="L8" s="24">
        <v>0.20300000000000001</v>
      </c>
    </row>
    <row r="9" spans="1:12" ht="17.399999999999999" x14ac:dyDescent="0.25">
      <c r="A9" s="13" t="s">
        <v>36</v>
      </c>
      <c r="B9" s="17">
        <v>2.0260704002473887E-3</v>
      </c>
      <c r="C9" s="17">
        <v>1.7199177829457938E-3</v>
      </c>
      <c r="D9" s="17">
        <v>1.5903440964094209E-3</v>
      </c>
      <c r="E9" s="17">
        <v>1.4660744767730337E-3</v>
      </c>
      <c r="F9" s="17">
        <v>1.3312874329850317E-3</v>
      </c>
      <c r="G9" s="17">
        <v>1.1895758769199568E-3</v>
      </c>
      <c r="H9" s="23">
        <f t="shared" si="0"/>
        <v>-0.15110660382986338</v>
      </c>
      <c r="I9" s="23">
        <f t="shared" si="1"/>
        <v>-0.27639509634313691</v>
      </c>
      <c r="J9" s="23">
        <f t="shared" si="2"/>
        <v>-0.41286547753981978</v>
      </c>
      <c r="K9" s="25"/>
      <c r="L9" s="25"/>
    </row>
    <row r="10" spans="1:12" ht="17.399999999999999" x14ac:dyDescent="0.25">
      <c r="A10" s="13" t="s">
        <v>37</v>
      </c>
      <c r="B10" s="17">
        <v>6.8328842612533636E-2</v>
      </c>
      <c r="C10" s="17">
        <v>6.697579622416662E-2</v>
      </c>
      <c r="D10" s="17">
        <v>6.7293762125432879E-2</v>
      </c>
      <c r="E10" s="17">
        <v>6.8050791579724185E-2</v>
      </c>
      <c r="F10" s="17">
        <v>6.8583215333546638E-2</v>
      </c>
      <c r="G10" s="17">
        <v>6.9025661502542621E-2</v>
      </c>
      <c r="H10" s="23">
        <f t="shared" si="0"/>
        <v>-1.9801980198019993E-2</v>
      </c>
      <c r="I10" s="23">
        <f t="shared" si="1"/>
        <v>-4.069306930693537E-3</v>
      </c>
      <c r="J10" s="23">
        <f t="shared" si="2"/>
        <v>1.0198019801979884E-2</v>
      </c>
      <c r="K10" s="25"/>
      <c r="L10" s="25"/>
    </row>
    <row r="11" spans="1:12" ht="17.399999999999999" x14ac:dyDescent="0.25">
      <c r="A11" s="13" t="s">
        <v>38</v>
      </c>
      <c r="B11" s="17">
        <v>6.8409558883348763E-3</v>
      </c>
      <c r="C11" s="17">
        <v>5.9703141817190721E-3</v>
      </c>
      <c r="D11" s="17">
        <v>5.6312617087928753E-3</v>
      </c>
      <c r="E11" s="17">
        <v>5.2982007430555011E-3</v>
      </c>
      <c r="F11" s="17">
        <v>5.0445509202558239E-3</v>
      </c>
      <c r="G11" s="17">
        <v>4.6973992654297282E-3</v>
      </c>
      <c r="H11" s="23">
        <f t="shared" si="0"/>
        <v>-0.12726901339919658</v>
      </c>
      <c r="I11" s="23">
        <f t="shared" si="1"/>
        <v>-0.22551748183467524</v>
      </c>
      <c r="J11" s="23">
        <f t="shared" si="2"/>
        <v>-0.31334168176121668</v>
      </c>
      <c r="K11" s="25"/>
      <c r="L11" s="25"/>
    </row>
    <row r="12" spans="1:12" ht="17.399999999999999" x14ac:dyDescent="0.25">
      <c r="A12" s="13" t="s">
        <v>39</v>
      </c>
      <c r="B12" s="17">
        <v>1.7290170827790375E-2</v>
      </c>
      <c r="C12" s="17">
        <v>2.9116982592562235E-2</v>
      </c>
      <c r="D12" s="17">
        <v>4.4341229195354111E-2</v>
      </c>
      <c r="E12" s="17">
        <v>6.0410328806354732E-2</v>
      </c>
      <c r="F12" s="17">
        <v>6.9030533957482515E-2</v>
      </c>
      <c r="G12" s="17">
        <v>8.1567046530745563E-2</v>
      </c>
      <c r="H12" s="23">
        <f t="shared" si="0"/>
        <v>0.68401937046004802</v>
      </c>
      <c r="I12" s="23">
        <f t="shared" si="1"/>
        <v>2.4939116222760287</v>
      </c>
      <c r="J12" s="23">
        <f t="shared" si="2"/>
        <v>3.7175384987893469</v>
      </c>
      <c r="K12" s="25"/>
      <c r="L12" s="25"/>
    </row>
    <row r="13" spans="1:12" ht="17.399999999999999" x14ac:dyDescent="0.25">
      <c r="A13" s="13" t="s">
        <v>40</v>
      </c>
      <c r="B13" s="17">
        <v>6.5525295821269092E-2</v>
      </c>
      <c r="C13" s="17">
        <v>7.4262001930771634E-2</v>
      </c>
      <c r="D13" s="17">
        <v>8.7199607561259981E-2</v>
      </c>
      <c r="E13" s="17">
        <v>9.1354639375170896E-2</v>
      </c>
      <c r="F13" s="17">
        <v>0.10106272159228163</v>
      </c>
      <c r="G13" s="17">
        <v>0.1100182821898272</v>
      </c>
      <c r="H13" s="23">
        <f t="shared" si="0"/>
        <v>0.1333333333333333</v>
      </c>
      <c r="I13" s="23">
        <f t="shared" si="1"/>
        <v>0.3941888888888887</v>
      </c>
      <c r="J13" s="23">
        <f t="shared" si="2"/>
        <v>0.67901999999999962</v>
      </c>
      <c r="K13" s="25"/>
      <c r="L13" s="25"/>
    </row>
    <row r="14" spans="1:12" ht="17.399999999999999" x14ac:dyDescent="0.25">
      <c r="A14" s="13" t="s">
        <v>41</v>
      </c>
      <c r="B14" s="17">
        <v>2.9139522062796006E-2</v>
      </c>
      <c r="C14" s="17">
        <v>2.6533612310998968E-2</v>
      </c>
      <c r="D14" s="17">
        <v>2.6113637307094786E-2</v>
      </c>
      <c r="E14" s="17">
        <v>2.5896805615534989E-2</v>
      </c>
      <c r="F14" s="17">
        <v>2.4766566281079112E-2</v>
      </c>
      <c r="G14" s="17">
        <v>2.3967299053955712E-2</v>
      </c>
      <c r="H14" s="23">
        <f t="shared" si="0"/>
        <v>-8.9428706009016631E-2</v>
      </c>
      <c r="I14" s="23">
        <f t="shared" si="1"/>
        <v>-0.11128241706480034</v>
      </c>
      <c r="J14" s="23">
        <f t="shared" si="2"/>
        <v>-0.17749855326021111</v>
      </c>
      <c r="K14" s="25"/>
      <c r="L14" s="25"/>
    </row>
    <row r="15" spans="1:12" x14ac:dyDescent="0.25">
      <c r="A15" s="13" t="s">
        <v>42</v>
      </c>
      <c r="B15" s="17">
        <v>172.75565907662445</v>
      </c>
      <c r="C15" s="17">
        <v>164.11787612279321</v>
      </c>
      <c r="D15" s="17">
        <v>160.81824303442971</v>
      </c>
      <c r="E15" s="17">
        <v>159.18545526235695</v>
      </c>
      <c r="F15" s="17">
        <v>158.78879217876607</v>
      </c>
      <c r="G15" s="17">
        <v>155.86185817917064</v>
      </c>
      <c r="H15" s="23">
        <f t="shared" si="0"/>
        <v>-5.0000000000000148E-2</v>
      </c>
      <c r="I15" s="23">
        <f t="shared" si="1"/>
        <v>-7.8551428571428397E-2</v>
      </c>
      <c r="J15" s="23">
        <f t="shared" si="2"/>
        <v>-9.7790144691935671E-2</v>
      </c>
      <c r="K15" s="24">
        <v>95</v>
      </c>
      <c r="L15" s="24">
        <v>255</v>
      </c>
    </row>
    <row r="16" spans="1:12" ht="17.399999999999999" x14ac:dyDescent="0.25">
      <c r="A16" s="13" t="s">
        <v>43</v>
      </c>
      <c r="B16" s="17">
        <v>3.1518012285188623E-3</v>
      </c>
      <c r="C16" s="17">
        <v>3.1221408900632608E-3</v>
      </c>
      <c r="D16" s="17">
        <v>3.1372832733800662E-3</v>
      </c>
      <c r="E16" s="17">
        <v>3.2020458418626505E-3</v>
      </c>
      <c r="F16" s="17">
        <v>3.2376351258684806E-3</v>
      </c>
      <c r="G16" s="17">
        <v>3.2743796020036362E-3</v>
      </c>
      <c r="H16" s="23">
        <f t="shared" si="0"/>
        <v>-9.4105993065876099E-3</v>
      </c>
      <c r="I16" s="23">
        <f t="shared" si="1"/>
        <v>1.5941555225359116E-2</v>
      </c>
      <c r="J16" s="23">
        <f t="shared" si="2"/>
        <v>3.8891530460624116E-2</v>
      </c>
      <c r="K16" s="25"/>
      <c r="L16" s="25"/>
    </row>
    <row r="17" spans="1:12" ht="17.399999999999999" x14ac:dyDescent="0.25">
      <c r="A17" s="13" t="s">
        <v>44</v>
      </c>
      <c r="B17" s="17">
        <v>0.41387032551791381</v>
      </c>
      <c r="C17" s="17">
        <v>0.41387032551791381</v>
      </c>
      <c r="D17" s="17">
        <v>0.42007838040068246</v>
      </c>
      <c r="E17" s="17">
        <v>0.42918352756207656</v>
      </c>
      <c r="F17" s="17">
        <v>0.43704706374691699</v>
      </c>
      <c r="G17" s="17">
        <v>0.44449672960623943</v>
      </c>
      <c r="H17" s="23">
        <f t="shared" si="0"/>
        <v>0</v>
      </c>
      <c r="I17" s="23">
        <f t="shared" si="1"/>
        <v>3.6999999999999866E-2</v>
      </c>
      <c r="J17" s="23">
        <f t="shared" si="2"/>
        <v>7.3999999999999996E-2</v>
      </c>
      <c r="K17" s="25"/>
      <c r="L17" s="25"/>
    </row>
    <row r="18" spans="1:12" x14ac:dyDescent="0.25">
      <c r="A18" s="13" t="s">
        <v>45</v>
      </c>
      <c r="B18" s="17">
        <v>1.0296327884287105E-2</v>
      </c>
      <c r="C18" s="17">
        <v>8.4242682689621758E-3</v>
      </c>
      <c r="D18" s="17">
        <v>7.6005620382192064E-3</v>
      </c>
      <c r="E18" s="17">
        <v>6.7946403738218262E-3</v>
      </c>
      <c r="F18" s="17">
        <v>5.9306848613493706E-3</v>
      </c>
      <c r="G18" s="17">
        <v>5.0264800671474307E-3</v>
      </c>
      <c r="H18" s="23">
        <f t="shared" si="0"/>
        <v>-0.18181818181818188</v>
      </c>
      <c r="I18" s="23">
        <f t="shared" si="1"/>
        <v>-0.34009090909090911</v>
      </c>
      <c r="J18" s="23">
        <f t="shared" si="2"/>
        <v>-0.51181818181818195</v>
      </c>
      <c r="K18" s="27">
        <v>5.0000000000000001E-3</v>
      </c>
      <c r="L18" s="29">
        <v>7.0000000000000001E-3</v>
      </c>
    </row>
    <row r="19" spans="1:12" s="9" customFormat="1" x14ac:dyDescent="0.25">
      <c r="A19" s="13" t="s">
        <v>46</v>
      </c>
      <c r="B19" s="17">
        <v>3.9848691653774838E-2</v>
      </c>
      <c r="C19" s="17">
        <v>3.2603474989452146E-2</v>
      </c>
      <c r="D19" s="17">
        <v>2.9415579657150151E-2</v>
      </c>
      <c r="E19" s="17">
        <v>2.629651388315922E-2</v>
      </c>
      <c r="F19" s="17">
        <v>2.2952846392574302E-2</v>
      </c>
      <c r="G19" s="17">
        <v>1.945340674370644E-2</v>
      </c>
      <c r="H19" s="23">
        <f t="shared" si="0"/>
        <v>-0.18181818181818168</v>
      </c>
      <c r="I19" s="23">
        <f t="shared" si="1"/>
        <v>-0.34009090909090939</v>
      </c>
      <c r="J19" s="23">
        <f t="shared" si="2"/>
        <v>-0.51181818181818195</v>
      </c>
      <c r="K19" s="28"/>
      <c r="L19" s="30"/>
    </row>
    <row r="20" spans="1:12" ht="17.399999999999999" x14ac:dyDescent="0.25">
      <c r="A20" s="13" t="s">
        <v>47</v>
      </c>
      <c r="B20" s="17">
        <f>B11+B12+B13+B14+B17</f>
        <v>0.53266627011810419</v>
      </c>
      <c r="C20" s="17">
        <f t="shared" ref="C20:G20" si="3">C11+C12+C13+C14+C17</f>
        <v>0.54975323653396568</v>
      </c>
      <c r="D20" s="17">
        <f t="shared" si="3"/>
        <v>0.58336411617318418</v>
      </c>
      <c r="E20" s="17">
        <f t="shared" si="3"/>
        <v>0.61214350210219259</v>
      </c>
      <c r="F20" s="17">
        <f t="shared" si="3"/>
        <v>0.63695143649801611</v>
      </c>
      <c r="G20" s="17">
        <f t="shared" si="3"/>
        <v>0.66474675664619765</v>
      </c>
      <c r="H20" s="23">
        <f t="shared" si="0"/>
        <v>3.2078183610298669E-2</v>
      </c>
      <c r="I20" s="23">
        <f t="shared" si="1"/>
        <v>0.14920642894558819</v>
      </c>
      <c r="J20" s="23">
        <f t="shared" si="2"/>
        <v>0.24796104791619003</v>
      </c>
      <c r="K20" s="25"/>
      <c r="L20" s="25"/>
    </row>
    <row r="21" spans="1:12" s="9" customFormat="1" x14ac:dyDescent="0.25">
      <c r="A21" s="8"/>
      <c r="K21" s="6"/>
      <c r="L21" s="6"/>
    </row>
    <row r="22" spans="1:12" x14ac:dyDescent="0.25">
      <c r="K22" s="10"/>
      <c r="L22" s="10"/>
    </row>
  </sheetData>
  <mergeCells count="2">
    <mergeCell ref="K18:K19"/>
    <mergeCell ref="L18:L19"/>
  </mergeCells>
  <hyperlinks>
    <hyperlink ref="A1" location="Contenido!A1" display="Contenido" xr:uid="{01554A21-C86E-4DA2-986E-D6DA25E9D76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86BC-FBE9-4422-BC33-12BE9F80D688}">
  <sheetPr>
    <tabColor rgb="FFD18316"/>
  </sheetPr>
  <dimension ref="A1:L23"/>
  <sheetViews>
    <sheetView topLeftCell="A3" zoomScale="70" zoomScaleNormal="70" workbookViewId="0">
      <selection activeCell="K3" sqref="K1:L104857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2" x14ac:dyDescent="0.25">
      <c r="A1" s="1" t="s">
        <v>0</v>
      </c>
    </row>
    <row r="2" spans="1:12" x14ac:dyDescent="0.25">
      <c r="A2" s="1"/>
    </row>
    <row r="3" spans="1:12" ht="15.6" x14ac:dyDescent="0.3">
      <c r="A3" s="4" t="s">
        <v>14</v>
      </c>
    </row>
    <row r="4" spans="1:12" x14ac:dyDescent="0.25">
      <c r="A4" s="14" t="s">
        <v>20</v>
      </c>
      <c r="B4" s="15" t="s">
        <v>21</v>
      </c>
      <c r="C4" s="15" t="s">
        <v>22</v>
      </c>
      <c r="D4" s="15" t="s">
        <v>23</v>
      </c>
      <c r="E4" s="15" t="s">
        <v>24</v>
      </c>
      <c r="F4" s="15" t="s">
        <v>25</v>
      </c>
      <c r="G4" s="16" t="s">
        <v>26</v>
      </c>
      <c r="H4" s="20" t="s">
        <v>27</v>
      </c>
      <c r="I4" s="20" t="s">
        <v>28</v>
      </c>
      <c r="J4" s="20" t="s">
        <v>29</v>
      </c>
      <c r="K4" s="21" t="s">
        <v>30</v>
      </c>
      <c r="L4" s="22" t="s">
        <v>31</v>
      </c>
    </row>
    <row r="5" spans="1:12" x14ac:dyDescent="0.25">
      <c r="A5" s="13" t="s">
        <v>32</v>
      </c>
      <c r="B5" s="17">
        <v>13.805395858435315</v>
      </c>
      <c r="C5" s="17">
        <v>12.466939239425091</v>
      </c>
      <c r="D5" s="17">
        <v>11.995036087262854</v>
      </c>
      <c r="E5" s="17">
        <v>11.555364319483724</v>
      </c>
      <c r="F5" s="17">
        <v>11.227907113654643</v>
      </c>
      <c r="G5" s="17">
        <v>10.784932115883501</v>
      </c>
      <c r="H5" s="23">
        <f>+(C5-B5)/B5</f>
        <v>-9.6951701547363114E-2</v>
      </c>
      <c r="I5" s="23">
        <f>(E5-B5)/B5</f>
        <v>-0.16298203702552913</v>
      </c>
      <c r="J5" s="23">
        <f>(G5-B5)/B5</f>
        <v>-0.21878863695938586</v>
      </c>
      <c r="K5" s="24">
        <v>1</v>
      </c>
      <c r="L5" s="24">
        <v>3.5</v>
      </c>
    </row>
    <row r="6" spans="1:12" x14ac:dyDescent="0.25">
      <c r="A6" s="13" t="s">
        <v>33</v>
      </c>
      <c r="B6" s="17">
        <v>1.6593570497514809</v>
      </c>
      <c r="C6" s="17">
        <v>1.6106772766582784</v>
      </c>
      <c r="D6" s="17">
        <v>1.6108729273483462</v>
      </c>
      <c r="E6" s="17">
        <v>1.6203416120111267</v>
      </c>
      <c r="F6" s="17">
        <v>1.6304197880356921</v>
      </c>
      <c r="G6" s="17">
        <v>1.6339931789148794</v>
      </c>
      <c r="H6" s="23">
        <f t="shared" ref="H6:H20" si="0">+(C6-B6)/B6</f>
        <v>-2.9336527120846698E-2</v>
      </c>
      <c r="I6" s="23">
        <f t="shared" ref="I6:I20" si="1">(E6-B6)/B6</f>
        <v>-2.3512382549733635E-2</v>
      </c>
      <c r="J6" s="23">
        <f t="shared" ref="J6:J20" si="2">(G6-B6)/B6</f>
        <v>-1.5285360580111571E-2</v>
      </c>
      <c r="K6" s="24">
        <v>0.1</v>
      </c>
      <c r="L6" s="24">
        <v>0.27300000000000002</v>
      </c>
    </row>
    <row r="7" spans="1:12" ht="17.399999999999999" x14ac:dyDescent="0.25">
      <c r="A7" s="13" t="s">
        <v>34</v>
      </c>
      <c r="B7" s="17">
        <v>0.49297078815026435</v>
      </c>
      <c r="C7" s="17">
        <v>0.45498574519017204</v>
      </c>
      <c r="D7" s="17">
        <v>0.45984380525280844</v>
      </c>
      <c r="E7" s="17">
        <v>0.46439114816476046</v>
      </c>
      <c r="F7" s="17">
        <v>0.48085938766754222</v>
      </c>
      <c r="G7" s="17">
        <v>0.47634836083879356</v>
      </c>
      <c r="H7" s="23">
        <f t="shared" si="0"/>
        <v>-7.7053334341818935E-2</v>
      </c>
      <c r="I7" s="23">
        <f t="shared" si="1"/>
        <v>-5.7974307347380634E-2</v>
      </c>
      <c r="J7" s="23">
        <f t="shared" si="2"/>
        <v>-3.3718889051908778E-2</v>
      </c>
      <c r="K7" s="25"/>
      <c r="L7" s="25"/>
    </row>
    <row r="8" spans="1:12" x14ac:dyDescent="0.25">
      <c r="A8" s="13" t="s">
        <v>35</v>
      </c>
      <c r="B8" s="17">
        <v>0.82683450077466725</v>
      </c>
      <c r="C8" s="17">
        <v>0.72142932158915596</v>
      </c>
      <c r="D8" s="17">
        <v>0.70079583618546548</v>
      </c>
      <c r="E8" s="17">
        <v>0.66670024522573756</v>
      </c>
      <c r="F8" s="17">
        <v>0.64036914925750832</v>
      </c>
      <c r="G8" s="17">
        <v>0.60912099034480893</v>
      </c>
      <c r="H8" s="23">
        <f t="shared" si="0"/>
        <v>-0.12748038342226456</v>
      </c>
      <c r="I8" s="23">
        <f t="shared" si="1"/>
        <v>-0.1936714728266645</v>
      </c>
      <c r="J8" s="23">
        <f t="shared" si="2"/>
        <v>-0.26330965897755954</v>
      </c>
      <c r="K8" s="24">
        <v>0.06</v>
      </c>
      <c r="L8" s="24">
        <v>0.20300000000000001</v>
      </c>
    </row>
    <row r="9" spans="1:12" ht="17.399999999999999" x14ac:dyDescent="0.25">
      <c r="A9" s="13" t="s">
        <v>36</v>
      </c>
      <c r="B9" s="17">
        <v>2.7002952648533789E-3</v>
      </c>
      <c r="C9" s="17">
        <v>2.2922628180435233E-3</v>
      </c>
      <c r="D9" s="17">
        <v>2.1195702935581742E-3</v>
      </c>
      <c r="E9" s="17">
        <v>1.9539468949693137E-3</v>
      </c>
      <c r="F9" s="17">
        <v>1.7743061401071494E-3</v>
      </c>
      <c r="G9" s="17">
        <v>1.5854365708311748E-3</v>
      </c>
      <c r="H9" s="23">
        <f t="shared" si="0"/>
        <v>-0.15110660382986341</v>
      </c>
      <c r="I9" s="23">
        <f t="shared" si="1"/>
        <v>-0.27639509634313658</v>
      </c>
      <c r="J9" s="23">
        <f t="shared" si="2"/>
        <v>-0.41286547753981967</v>
      </c>
      <c r="K9" s="25"/>
      <c r="L9" s="25"/>
    </row>
    <row r="10" spans="1:12" ht="17.399999999999999" x14ac:dyDescent="0.25">
      <c r="A10" s="13" t="s">
        <v>37</v>
      </c>
      <c r="B10" s="17">
        <v>7.5579856381519664E-2</v>
      </c>
      <c r="C10" s="17">
        <v>7.4083225562083632E-2</v>
      </c>
      <c r="D10" s="17">
        <v>7.4434933804651077E-2</v>
      </c>
      <c r="E10" s="17">
        <v>7.5272298748125521E-2</v>
      </c>
      <c r="F10" s="17">
        <v>7.5861222975573614E-2</v>
      </c>
      <c r="G10" s="17">
        <v>7.6350621253529205E-2</v>
      </c>
      <c r="H10" s="23">
        <f t="shared" si="0"/>
        <v>-1.9801980198019785E-2</v>
      </c>
      <c r="I10" s="23">
        <f t="shared" si="1"/>
        <v>-4.0693069306935708E-3</v>
      </c>
      <c r="J10" s="23">
        <f t="shared" si="2"/>
        <v>1.0198019801979989E-2</v>
      </c>
      <c r="K10" s="25"/>
      <c r="L10" s="25"/>
    </row>
    <row r="11" spans="1:12" ht="17.399999999999999" x14ac:dyDescent="0.25">
      <c r="A11" s="13" t="s">
        <v>38</v>
      </c>
      <c r="B11" s="17">
        <v>5.767489433604495E-3</v>
      </c>
      <c r="C11" s="17">
        <v>5.3278059104681997E-3</v>
      </c>
      <c r="D11" s="17">
        <v>5.1912717126809844E-3</v>
      </c>
      <c r="E11" s="17">
        <v>5.0739524177175937E-3</v>
      </c>
      <c r="F11" s="17">
        <v>4.9897984157943071E-3</v>
      </c>
      <c r="G11" s="17">
        <v>4.8561122402407692E-3</v>
      </c>
      <c r="H11" s="23">
        <f t="shared" si="0"/>
        <v>-7.6234820747908549E-2</v>
      </c>
      <c r="I11" s="23">
        <f t="shared" si="1"/>
        <v>-0.12024937780483511</v>
      </c>
      <c r="J11" s="23">
        <f t="shared" si="2"/>
        <v>-0.15801974218687809</v>
      </c>
      <c r="K11" s="25"/>
      <c r="L11" s="25"/>
    </row>
    <row r="12" spans="1:12" ht="17.399999999999999" x14ac:dyDescent="0.25">
      <c r="A12" s="13" t="s">
        <v>39</v>
      </c>
      <c r="B12" s="17">
        <v>1.0110323593535326E-2</v>
      </c>
      <c r="C12" s="17">
        <v>1.7025980773132735E-2</v>
      </c>
      <c r="D12" s="17">
        <v>2.5928267578455018E-2</v>
      </c>
      <c r="E12" s="17">
        <v>3.5324577108424626E-2</v>
      </c>
      <c r="F12" s="17">
        <v>4.0365190320902626E-2</v>
      </c>
      <c r="G12" s="17">
        <v>4.7695840787721162E-2</v>
      </c>
      <c r="H12" s="23">
        <f t="shared" si="0"/>
        <v>0.68401937046004846</v>
      </c>
      <c r="I12" s="23">
        <f t="shared" si="1"/>
        <v>2.4939116222760296</v>
      </c>
      <c r="J12" s="23">
        <f t="shared" si="2"/>
        <v>3.7175384987893469</v>
      </c>
      <c r="K12" s="25"/>
      <c r="L12" s="25"/>
    </row>
    <row r="13" spans="1:12" ht="17.399999999999999" x14ac:dyDescent="0.25">
      <c r="A13" s="13" t="s">
        <v>40</v>
      </c>
      <c r="B13" s="17">
        <v>2.9276795811359148E-2</v>
      </c>
      <c r="C13" s="17">
        <v>3.3180368586207022E-2</v>
      </c>
      <c r="D13" s="17">
        <v>3.8960909270294254E-2</v>
      </c>
      <c r="E13" s="17">
        <v>4.0817383422465672E-2</v>
      </c>
      <c r="F13" s="17">
        <v>4.5154968430330372E-2</v>
      </c>
      <c r="G13" s="17">
        <v>4.9156325703188224E-2</v>
      </c>
      <c r="H13" s="23">
        <f t="shared" si="0"/>
        <v>0.13333333333333292</v>
      </c>
      <c r="I13" s="23">
        <f t="shared" si="1"/>
        <v>0.39418888888888842</v>
      </c>
      <c r="J13" s="23">
        <f t="shared" si="2"/>
        <v>0.67901999999999951</v>
      </c>
      <c r="K13" s="25"/>
      <c r="L13" s="25"/>
    </row>
    <row r="14" spans="1:12" ht="17.399999999999999" x14ac:dyDescent="0.25">
      <c r="A14" s="13" t="s">
        <v>41</v>
      </c>
      <c r="B14" s="17">
        <v>3.2272874033772964E-2</v>
      </c>
      <c r="C14" s="17">
        <v>2.9386752669740664E-2</v>
      </c>
      <c r="D14" s="17">
        <v>2.8921618053972975E-2</v>
      </c>
      <c r="E14" s="17">
        <v>2.8681470605666896E-2</v>
      </c>
      <c r="F14" s="17">
        <v>2.7429697443763158E-2</v>
      </c>
      <c r="G14" s="17">
        <v>2.6544485583229239E-2</v>
      </c>
      <c r="H14" s="23">
        <f t="shared" si="0"/>
        <v>-8.9428706009016326E-2</v>
      </c>
      <c r="I14" s="23">
        <f t="shared" si="1"/>
        <v>-0.11128241706479972</v>
      </c>
      <c r="J14" s="23">
        <f t="shared" si="2"/>
        <v>-0.1774985532602108</v>
      </c>
      <c r="K14" s="25"/>
      <c r="L14" s="25"/>
    </row>
    <row r="15" spans="1:12" x14ac:dyDescent="0.25">
      <c r="A15" s="13" t="s">
        <v>42</v>
      </c>
      <c r="B15" s="17">
        <v>226.86145750875542</v>
      </c>
      <c r="C15" s="17">
        <v>215.51838463331765</v>
      </c>
      <c r="D15" s="17">
        <v>211.18533079490044</v>
      </c>
      <c r="E15" s="17">
        <v>209.04116593364637</v>
      </c>
      <c r="F15" s="17">
        <v>208.0936342312902</v>
      </c>
      <c r="G15" s="17">
        <v>204.25787022821612</v>
      </c>
      <c r="H15" s="23">
        <f t="shared" si="0"/>
        <v>-4.9999999999999996E-2</v>
      </c>
      <c r="I15" s="23">
        <f t="shared" si="1"/>
        <v>-7.8551428571428009E-2</v>
      </c>
      <c r="J15" s="23">
        <f t="shared" si="2"/>
        <v>-9.9636084193221522E-2</v>
      </c>
      <c r="K15" s="24">
        <v>95</v>
      </c>
      <c r="L15" s="24">
        <v>255</v>
      </c>
    </row>
    <row r="16" spans="1:12" ht="17.399999999999999" x14ac:dyDescent="0.25">
      <c r="A16" s="13" t="s">
        <v>43</v>
      </c>
      <c r="B16" s="17">
        <v>4.0927353130287549E-3</v>
      </c>
      <c r="C16" s="17">
        <v>4.0542202209299209E-3</v>
      </c>
      <c r="D16" s="17">
        <v>4.0738831890014303E-3</v>
      </c>
      <c r="E16" s="17">
        <v>4.1579798790441795E-3</v>
      </c>
      <c r="F16" s="17">
        <v>4.2041939353425596E-3</v>
      </c>
      <c r="G16" s="17">
        <v>4.2519080531226838E-3</v>
      </c>
      <c r="H16" s="23">
        <f t="shared" si="0"/>
        <v>-9.4105993065873635E-3</v>
      </c>
      <c r="I16" s="23">
        <f t="shared" si="1"/>
        <v>1.5941555225358922E-2</v>
      </c>
      <c r="J16" s="23">
        <f t="shared" si="2"/>
        <v>3.8891530460623873E-2</v>
      </c>
      <c r="K16" s="25"/>
      <c r="L16" s="25"/>
    </row>
    <row r="17" spans="1:12" ht="17.399999999999999" x14ac:dyDescent="0.25">
      <c r="A17" s="13" t="s">
        <v>44</v>
      </c>
      <c r="B17" s="17">
        <v>0.35728077830523924</v>
      </c>
      <c r="C17" s="17">
        <v>0.35728077830523924</v>
      </c>
      <c r="D17" s="17">
        <v>0.36263998997981772</v>
      </c>
      <c r="E17" s="17">
        <v>0.37050016710253303</v>
      </c>
      <c r="F17" s="17">
        <v>0.37728850189033264</v>
      </c>
      <c r="G17" s="17">
        <v>0.38371955589982687</v>
      </c>
      <c r="H17" s="23">
        <f t="shared" si="0"/>
        <v>0</v>
      </c>
      <c r="I17" s="23">
        <f t="shared" si="1"/>
        <v>3.6999999999999811E-2</v>
      </c>
      <c r="J17" s="23">
        <f t="shared" si="2"/>
        <v>7.3999999999999774E-2</v>
      </c>
      <c r="K17" s="25"/>
      <c r="L17" s="25"/>
    </row>
    <row r="18" spans="1:12" x14ac:dyDescent="0.25">
      <c r="A18" s="13" t="s">
        <v>45</v>
      </c>
      <c r="B18" s="17">
        <v>1.2489860012806353E-2</v>
      </c>
      <c r="C18" s="17">
        <v>1.0218976374114282E-2</v>
      </c>
      <c r="D18" s="17">
        <v>9.2197875730897719E-3</v>
      </c>
      <c r="E18" s="17">
        <v>8.2421721666328402E-3</v>
      </c>
      <c r="F18" s="17">
        <v>7.194159367376456E-3</v>
      </c>
      <c r="G18" s="17">
        <v>6.0973225698881875E-3</v>
      </c>
      <c r="H18" s="23">
        <f t="shared" si="0"/>
        <v>-0.18181818181818235</v>
      </c>
      <c r="I18" s="23">
        <f t="shared" si="1"/>
        <v>-0.34009090909090967</v>
      </c>
      <c r="J18" s="23">
        <f t="shared" si="2"/>
        <v>-0.51181818181818217</v>
      </c>
      <c r="K18" s="27">
        <v>5.0000000000000001E-3</v>
      </c>
      <c r="L18" s="29">
        <v>7.0000000000000001E-3</v>
      </c>
    </row>
    <row r="19" spans="1:12" s="9" customFormat="1" x14ac:dyDescent="0.25">
      <c r="A19" s="13" t="s">
        <v>46</v>
      </c>
      <c r="B19" s="17">
        <v>1.0060667242034284E-2</v>
      </c>
      <c r="C19" s="17">
        <v>8.2314550162098689E-3</v>
      </c>
      <c r="D19" s="17">
        <v>7.4266016368471259E-3</v>
      </c>
      <c r="E19" s="17">
        <v>6.639125773629715E-3</v>
      </c>
      <c r="F19" s="17">
        <v>5.7949443314117477E-3</v>
      </c>
      <c r="G19" s="17">
        <v>4.911434826338555E-3</v>
      </c>
      <c r="H19" s="23">
        <f t="shared" si="0"/>
        <v>-0.1818181818181818</v>
      </c>
      <c r="I19" s="23">
        <f t="shared" si="1"/>
        <v>-0.34009090909090911</v>
      </c>
      <c r="J19" s="23">
        <f t="shared" si="2"/>
        <v>-0.51181818181818184</v>
      </c>
      <c r="K19" s="28"/>
      <c r="L19" s="30"/>
    </row>
    <row r="20" spans="1:12" ht="17.399999999999999" x14ac:dyDescent="0.25">
      <c r="A20" s="13" t="s">
        <v>47</v>
      </c>
      <c r="B20" s="17">
        <f t="shared" ref="B20:G20" si="3">B11+B12+B13+B14+B17</f>
        <v>0.43470826117751116</v>
      </c>
      <c r="C20" s="17">
        <f t="shared" si="3"/>
        <v>0.44220168624478784</v>
      </c>
      <c r="D20" s="17">
        <f t="shared" si="3"/>
        <v>0.46164205659522095</v>
      </c>
      <c r="E20" s="17">
        <f t="shared" si="3"/>
        <v>0.48039755065680778</v>
      </c>
      <c r="F20" s="17">
        <f t="shared" si="3"/>
        <v>0.49522815650112312</v>
      </c>
      <c r="G20" s="17">
        <f>G11+G12+G13+G14+G17</f>
        <v>0.51197232021420624</v>
      </c>
      <c r="H20" s="23">
        <f t="shared" si="0"/>
        <v>1.7237825310655357E-2</v>
      </c>
      <c r="I20" s="23">
        <f t="shared" si="1"/>
        <v>0.1051033383988063</v>
      </c>
      <c r="J20" s="23">
        <f t="shared" si="2"/>
        <v>0.17773772881013794</v>
      </c>
      <c r="K20" s="25"/>
      <c r="L20" s="25"/>
    </row>
    <row r="21" spans="1:12" x14ac:dyDescent="0.25">
      <c r="A21" s="6"/>
    </row>
    <row r="22" spans="1:12" ht="14.4" x14ac:dyDescent="0.3">
      <c r="A22"/>
      <c r="K22" s="10"/>
      <c r="L22" s="10"/>
    </row>
    <row r="23" spans="1:12" s="9" customFormat="1" x14ac:dyDescent="0.25">
      <c r="A23" s="8"/>
      <c r="K23" s="6"/>
      <c r="L23" s="6"/>
    </row>
  </sheetData>
  <mergeCells count="2">
    <mergeCell ref="K18:K19"/>
    <mergeCell ref="L18:L19"/>
  </mergeCells>
  <hyperlinks>
    <hyperlink ref="A1" location="Contenido!A1" display="Contenido" xr:uid="{94CA7EF4-8744-41DE-AF72-372A5533408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7074-50A1-4D53-BFC1-F4CB7FBD231D}">
  <sheetPr>
    <tabColor rgb="FFD18316"/>
  </sheetPr>
  <dimension ref="A1:L23"/>
  <sheetViews>
    <sheetView zoomScale="70" zoomScaleNormal="70" workbookViewId="0">
      <selection activeCell="K1" sqref="K1:L104857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2" x14ac:dyDescent="0.25">
      <c r="A1" s="1" t="s">
        <v>0</v>
      </c>
    </row>
    <row r="2" spans="1:12" x14ac:dyDescent="0.25">
      <c r="A2" s="1"/>
    </row>
    <row r="3" spans="1:12" ht="15.6" x14ac:dyDescent="0.3">
      <c r="A3" s="4" t="s">
        <v>15</v>
      </c>
    </row>
    <row r="4" spans="1:12" x14ac:dyDescent="0.25">
      <c r="A4" s="14" t="s">
        <v>20</v>
      </c>
      <c r="B4" s="15" t="s">
        <v>21</v>
      </c>
      <c r="C4" s="15" t="s">
        <v>22</v>
      </c>
      <c r="D4" s="15" t="s">
        <v>23</v>
      </c>
      <c r="E4" s="15" t="s">
        <v>24</v>
      </c>
      <c r="F4" s="15" t="s">
        <v>25</v>
      </c>
      <c r="G4" s="16" t="s">
        <v>26</v>
      </c>
      <c r="H4" s="20" t="s">
        <v>27</v>
      </c>
      <c r="I4" s="20" t="s">
        <v>28</v>
      </c>
      <c r="J4" s="20" t="s">
        <v>29</v>
      </c>
      <c r="K4" s="21" t="s">
        <v>30</v>
      </c>
      <c r="L4" s="22" t="s">
        <v>31</v>
      </c>
    </row>
    <row r="5" spans="1:12" x14ac:dyDescent="0.25">
      <c r="A5" s="13" t="s">
        <v>32</v>
      </c>
      <c r="B5" s="17">
        <v>3.1038884667663349</v>
      </c>
      <c r="C5" s="17">
        <v>2.7436483160034935</v>
      </c>
      <c r="D5" s="17">
        <v>2.6074608390042471</v>
      </c>
      <c r="E5" s="17">
        <v>2.4756658644808902</v>
      </c>
      <c r="F5" s="17">
        <v>2.375908315431579</v>
      </c>
      <c r="G5" s="17">
        <v>2.2507614573822652</v>
      </c>
      <c r="H5" s="23">
        <f>+(C5-B5)/B5</f>
        <v>-0.11606091991383427</v>
      </c>
      <c r="I5" s="23">
        <f>(E5-B5)/B5</f>
        <v>-0.20239857488820592</v>
      </c>
      <c r="J5" s="23">
        <f>(G5-B5)/B5</f>
        <v>-0.27485749520918412</v>
      </c>
      <c r="K5" s="24">
        <v>1</v>
      </c>
      <c r="L5" s="24">
        <v>3.5</v>
      </c>
    </row>
    <row r="6" spans="1:12" x14ac:dyDescent="0.25">
      <c r="A6" s="13" t="s">
        <v>33</v>
      </c>
      <c r="B6" s="17">
        <v>0.37505442563346358</v>
      </c>
      <c r="C6" s="17">
        <v>0.33984411690055366</v>
      </c>
      <c r="D6" s="17">
        <v>0.32760813702252289</v>
      </c>
      <c r="E6" s="17">
        <v>0.31630322190533455</v>
      </c>
      <c r="F6" s="17">
        <v>0.30791465374387211</v>
      </c>
      <c r="G6" s="17">
        <v>0.29564631023575932</v>
      </c>
      <c r="H6" s="23">
        <f t="shared" ref="H6:H20" si="0">+(C6-B6)/B6</f>
        <v>-9.3880531268068695E-2</v>
      </c>
      <c r="I6" s="23">
        <f t="shared" ref="I6:I20" si="1">(E6-B6)/B6</f>
        <v>-0.15664714162190932</v>
      </c>
      <c r="J6" s="23">
        <f t="shared" ref="J6:J20" si="2">(G6-B6)/B6</f>
        <v>-0.21172424579068666</v>
      </c>
      <c r="K6" s="24">
        <v>0.1</v>
      </c>
      <c r="L6" s="24">
        <v>0.27300000000000002</v>
      </c>
    </row>
    <row r="7" spans="1:12" ht="17.399999999999999" x14ac:dyDescent="0.25">
      <c r="A7" s="13" t="s">
        <v>34</v>
      </c>
      <c r="B7" s="17">
        <v>0.49297078815026435</v>
      </c>
      <c r="C7" s="17">
        <v>0.45498574519017204</v>
      </c>
      <c r="D7" s="17">
        <v>0.45984380525280844</v>
      </c>
      <c r="E7" s="17">
        <v>0.46439114816476046</v>
      </c>
      <c r="F7" s="17">
        <v>0.48085938766754222</v>
      </c>
      <c r="G7" s="17">
        <v>0.47634836083879356</v>
      </c>
      <c r="H7" s="23">
        <f t="shared" si="0"/>
        <v>-7.7053334341818935E-2</v>
      </c>
      <c r="I7" s="23">
        <f t="shared" si="1"/>
        <v>-5.7974307347380634E-2</v>
      </c>
      <c r="J7" s="23">
        <f t="shared" si="2"/>
        <v>-3.3718889051908778E-2</v>
      </c>
      <c r="K7" s="25"/>
      <c r="L7" s="25"/>
    </row>
    <row r="8" spans="1:12" x14ac:dyDescent="0.25">
      <c r="A8" s="13" t="s">
        <v>35</v>
      </c>
      <c r="B8" s="17">
        <v>0.25400586907289496</v>
      </c>
      <c r="C8" s="17">
        <v>0.22101443156950057</v>
      </c>
      <c r="D8" s="17">
        <v>0.21404677511690662</v>
      </c>
      <c r="E8" s="17">
        <v>0.20291237795210687</v>
      </c>
      <c r="F8" s="17">
        <v>0.19414371384361021</v>
      </c>
      <c r="G8" s="17">
        <v>0.18384436208531477</v>
      </c>
      <c r="H8" s="23">
        <f t="shared" si="0"/>
        <v>-0.12988454803745683</v>
      </c>
      <c r="I8" s="23">
        <f t="shared" si="1"/>
        <v>-0.2011508289445281</v>
      </c>
      <c r="J8" s="23">
        <f t="shared" si="2"/>
        <v>-0.27622002296114329</v>
      </c>
      <c r="K8" s="24">
        <v>0.06</v>
      </c>
      <c r="L8" s="24">
        <v>0.20300000000000001</v>
      </c>
    </row>
    <row r="9" spans="1:12" ht="17.399999999999999" x14ac:dyDescent="0.25">
      <c r="A9" s="13" t="s">
        <v>36</v>
      </c>
      <c r="B9" s="17">
        <v>2.1725643923729454E-3</v>
      </c>
      <c r="C9" s="17">
        <v>1.8442755654397792E-3</v>
      </c>
      <c r="D9" s="17">
        <v>1.7053331192527939E-3</v>
      </c>
      <c r="E9" s="17">
        <v>1.5720782478313568E-3</v>
      </c>
      <c r="F9" s="17">
        <v>1.4275454952422714E-3</v>
      </c>
      <c r="G9" s="17">
        <v>1.2755875570298813E-3</v>
      </c>
      <c r="H9" s="23">
        <f t="shared" si="0"/>
        <v>-0.15110660382986324</v>
      </c>
      <c r="I9" s="23">
        <f t="shared" si="1"/>
        <v>-0.2763950963431368</v>
      </c>
      <c r="J9" s="23">
        <f t="shared" si="2"/>
        <v>-0.41286547753981961</v>
      </c>
      <c r="K9" s="25"/>
      <c r="L9" s="25"/>
    </row>
    <row r="10" spans="1:12" ht="17.399999999999999" x14ac:dyDescent="0.25">
      <c r="A10" s="13" t="s">
        <v>37</v>
      </c>
      <c r="B10" s="17">
        <v>6.6759543937045168E-2</v>
      </c>
      <c r="C10" s="17">
        <v>6.5437572769974972E-2</v>
      </c>
      <c r="D10" s="17">
        <v>6.5748235994236459E-2</v>
      </c>
      <c r="E10" s="17">
        <v>6.6487878862212232E-2</v>
      </c>
      <c r="F10" s="17">
        <v>6.7008074516454338E-2</v>
      </c>
      <c r="G10" s="17">
        <v>6.7440359088086307E-2</v>
      </c>
      <c r="H10" s="23">
        <f t="shared" si="0"/>
        <v>-1.9801980198019722E-2</v>
      </c>
      <c r="I10" s="23">
        <f t="shared" si="1"/>
        <v>-4.06930693069321E-3</v>
      </c>
      <c r="J10" s="23">
        <f t="shared" si="2"/>
        <v>1.0198019801979982E-2</v>
      </c>
      <c r="K10" s="25"/>
      <c r="L10" s="25"/>
    </row>
    <row r="11" spans="1:12" ht="17.399999999999999" x14ac:dyDescent="0.25">
      <c r="A11" s="13" t="s">
        <v>38</v>
      </c>
      <c r="B11" s="17">
        <v>3.5804082957860369E-3</v>
      </c>
      <c r="C11" s="17">
        <v>3.3060849757452675E-3</v>
      </c>
      <c r="D11" s="17">
        <v>3.2206299445728202E-3</v>
      </c>
      <c r="E11" s="17">
        <v>3.1470373632095125E-3</v>
      </c>
      <c r="F11" s="17">
        <v>3.0941909407646178E-3</v>
      </c>
      <c r="G11" s="17">
        <v>3.010458848767562E-3</v>
      </c>
      <c r="H11" s="23">
        <f t="shared" si="0"/>
        <v>-7.6617887508425894E-2</v>
      </c>
      <c r="I11" s="23">
        <f t="shared" si="1"/>
        <v>-0.12103952867235297</v>
      </c>
      <c r="J11" s="23">
        <f t="shared" si="2"/>
        <v>-0.15918560117550759</v>
      </c>
      <c r="K11" s="25"/>
      <c r="L11" s="25"/>
    </row>
    <row r="12" spans="1:12" ht="17.399999999999999" x14ac:dyDescent="0.25">
      <c r="A12" s="13" t="s">
        <v>39</v>
      </c>
      <c r="B12" s="17">
        <v>8.3813414204698504E-3</v>
      </c>
      <c r="C12" s="17">
        <v>1.411434130251036E-2</v>
      </c>
      <c r="D12" s="17">
        <v>2.1494234186063409E-2</v>
      </c>
      <c r="E12" s="17">
        <v>2.9283666199243077E-2</v>
      </c>
      <c r="F12" s="17">
        <v>3.3462276301230588E-2</v>
      </c>
      <c r="G12" s="17">
        <v>3.9539300822564266E-2</v>
      </c>
      <c r="H12" s="23">
        <f t="shared" si="0"/>
        <v>0.68401937046004768</v>
      </c>
      <c r="I12" s="23">
        <f t="shared" si="1"/>
        <v>2.4939116222760274</v>
      </c>
      <c r="J12" s="23">
        <f t="shared" si="2"/>
        <v>3.7175384987893416</v>
      </c>
      <c r="K12" s="25"/>
      <c r="L12" s="25"/>
    </row>
    <row r="13" spans="1:12" ht="17.399999999999999" x14ac:dyDescent="0.25">
      <c r="A13" s="13" t="s">
        <v>40</v>
      </c>
      <c r="B13" s="17">
        <v>2.9612317683441441E-2</v>
      </c>
      <c r="C13" s="17">
        <v>3.3560626707900297E-2</v>
      </c>
      <c r="D13" s="17">
        <v>3.9407414321619781E-2</v>
      </c>
      <c r="E13" s="17">
        <v>4.1285164288502013E-2</v>
      </c>
      <c r="F13" s="17">
        <v>4.5672459471330286E-2</v>
      </c>
      <c r="G13" s="17">
        <v>4.9719673636851827E-2</v>
      </c>
      <c r="H13" s="23">
        <f t="shared" si="0"/>
        <v>0.13333333333333322</v>
      </c>
      <c r="I13" s="23">
        <f t="shared" si="1"/>
        <v>0.3941888888888887</v>
      </c>
      <c r="J13" s="23">
        <f t="shared" si="2"/>
        <v>0.67901999999999929</v>
      </c>
      <c r="K13" s="25"/>
      <c r="L13" s="25"/>
    </row>
    <row r="14" spans="1:12" ht="17.399999999999999" x14ac:dyDescent="0.25">
      <c r="A14" s="13" t="s">
        <v>41</v>
      </c>
      <c r="B14" s="17">
        <v>6.0928040008044922E-3</v>
      </c>
      <c r="C14" s="17">
        <v>5.5479324230459847E-3</v>
      </c>
      <c r="D14" s="17">
        <v>5.4601195420210004E-3</v>
      </c>
      <c r="E14" s="17">
        <v>5.4147820448928819E-3</v>
      </c>
      <c r="F14" s="17">
        <v>5.1784594750168503E-3</v>
      </c>
      <c r="G14" s="17">
        <v>5.0113401053636705E-3</v>
      </c>
      <c r="H14" s="23">
        <f t="shared" si="0"/>
        <v>-8.9428706009016992E-2</v>
      </c>
      <c r="I14" s="23">
        <f t="shared" si="1"/>
        <v>-0.11128241706480045</v>
      </c>
      <c r="J14" s="23">
        <f t="shared" si="2"/>
        <v>-0.17749855326021083</v>
      </c>
      <c r="K14" s="25"/>
      <c r="L14" s="25"/>
    </row>
    <row r="15" spans="1:12" x14ac:dyDescent="0.25">
      <c r="A15" s="13" t="s">
        <v>42</v>
      </c>
      <c r="B15" s="17">
        <v>190.01361103027421</v>
      </c>
      <c r="C15" s="17">
        <v>180.5129304787605</v>
      </c>
      <c r="D15" s="17">
        <v>176.88367050808228</v>
      </c>
      <c r="E15" s="17">
        <v>175.08777043583044</v>
      </c>
      <c r="F15" s="17">
        <v>174.10903256986131</v>
      </c>
      <c r="G15" s="17">
        <v>170.89970249011822</v>
      </c>
      <c r="H15" s="23">
        <f t="shared" si="0"/>
        <v>-0.05</v>
      </c>
      <c r="I15" s="23">
        <f t="shared" si="1"/>
        <v>-7.8551428571428425E-2</v>
      </c>
      <c r="J15" s="23">
        <f t="shared" si="2"/>
        <v>-0.10059231250076416</v>
      </c>
      <c r="K15" s="24">
        <v>95</v>
      </c>
      <c r="L15" s="24">
        <v>255</v>
      </c>
    </row>
    <row r="16" spans="1:12" ht="17.399999999999999" x14ac:dyDescent="0.25">
      <c r="A16" s="13" t="s">
        <v>43</v>
      </c>
      <c r="B16" s="17">
        <v>2.5234229473639776E-3</v>
      </c>
      <c r="C16" s="17">
        <v>2.4996760251252874E-3</v>
      </c>
      <c r="D16" s="17">
        <v>2.5117994538471447E-3</v>
      </c>
      <c r="E16" s="17">
        <v>2.5636502336363193E-3</v>
      </c>
      <c r="F16" s="17">
        <v>2.5921440406467223E-3</v>
      </c>
      <c r="G16" s="17">
        <v>2.6215627277864214E-3</v>
      </c>
      <c r="H16" s="23">
        <f t="shared" si="0"/>
        <v>-9.4105993065874069E-3</v>
      </c>
      <c r="I16" s="23">
        <f t="shared" si="1"/>
        <v>1.5941555225359248E-2</v>
      </c>
      <c r="J16" s="23">
        <f t="shared" si="2"/>
        <v>3.8891530460624033E-2</v>
      </c>
      <c r="K16" s="25"/>
      <c r="L16" s="25"/>
    </row>
    <row r="17" spans="1:12" ht="17.399999999999999" x14ac:dyDescent="0.25">
      <c r="A17" s="13" t="s">
        <v>44</v>
      </c>
      <c r="B17" s="17">
        <v>9.5270900259936647E-2</v>
      </c>
      <c r="C17" s="17">
        <v>9.5270900259936647E-2</v>
      </c>
      <c r="D17" s="17">
        <v>9.6699963763835703E-2</v>
      </c>
      <c r="E17" s="17">
        <v>9.87959235695543E-2</v>
      </c>
      <c r="F17" s="17">
        <v>0.10060607067449313</v>
      </c>
      <c r="G17" s="17">
        <v>0.10232094687917198</v>
      </c>
      <c r="H17" s="23">
        <f t="shared" si="0"/>
        <v>0</v>
      </c>
      <c r="I17" s="23">
        <f t="shared" si="1"/>
        <v>3.699999999999997E-2</v>
      </c>
      <c r="J17" s="23">
        <f t="shared" si="2"/>
        <v>7.4000000000000232E-2</v>
      </c>
      <c r="K17" s="25"/>
      <c r="L17" s="25"/>
    </row>
    <row r="18" spans="1:12" x14ac:dyDescent="0.25">
      <c r="A18" s="13" t="s">
        <v>45</v>
      </c>
      <c r="B18" s="17">
        <v>1.1543129878357736E-2</v>
      </c>
      <c r="C18" s="17">
        <v>9.4443789913836017E-3</v>
      </c>
      <c r="D18" s="17">
        <v>8.520928601114983E-3</v>
      </c>
      <c r="E18" s="17">
        <v>7.6174163442726192E-3</v>
      </c>
      <c r="F18" s="17">
        <v>6.648842809934055E-3</v>
      </c>
      <c r="G18" s="17">
        <v>5.6351461315255489E-3</v>
      </c>
      <c r="H18" s="23">
        <f t="shared" si="0"/>
        <v>-0.18181818181818188</v>
      </c>
      <c r="I18" s="23">
        <f t="shared" si="1"/>
        <v>-0.34009090909090905</v>
      </c>
      <c r="J18" s="23">
        <f t="shared" si="2"/>
        <v>-0.51181818181818184</v>
      </c>
      <c r="K18" s="27">
        <v>5.0000000000000001E-3</v>
      </c>
      <c r="L18" s="29">
        <v>7.0000000000000001E-3</v>
      </c>
    </row>
    <row r="19" spans="1:12" s="9" customFormat="1" x14ac:dyDescent="0.25">
      <c r="A19" s="13" t="s">
        <v>46</v>
      </c>
      <c r="B19" s="17">
        <v>1.6879799670800381E-2</v>
      </c>
      <c r="C19" s="17">
        <v>1.3810745185200314E-2</v>
      </c>
      <c r="D19" s="17">
        <v>1.2460361211536279E-2</v>
      </c>
      <c r="E19" s="17">
        <v>1.1139133255485451E-2</v>
      </c>
      <c r="F19" s="17">
        <v>9.7227646103810184E-3</v>
      </c>
      <c r="G19" s="17">
        <v>8.2404112938361859E-3</v>
      </c>
      <c r="H19" s="23">
        <f t="shared" si="0"/>
        <v>-0.18181818181818168</v>
      </c>
      <c r="I19" s="23">
        <f t="shared" si="1"/>
        <v>-0.34009090909090911</v>
      </c>
      <c r="J19" s="23">
        <f t="shared" si="2"/>
        <v>-0.51181818181818184</v>
      </c>
      <c r="K19" s="28"/>
      <c r="L19" s="30"/>
    </row>
    <row r="20" spans="1:12" ht="17.399999999999999" x14ac:dyDescent="0.25">
      <c r="A20" s="13" t="s">
        <v>47</v>
      </c>
      <c r="B20" s="17">
        <f t="shared" ref="B20:G20" si="3">B11+B12+B13+B14+B17</f>
        <v>0.14293777166043847</v>
      </c>
      <c r="C20" s="17">
        <f t="shared" si="3"/>
        <v>0.15179988566913855</v>
      </c>
      <c r="D20" s="17">
        <f t="shared" si="3"/>
        <v>0.16628236175811273</v>
      </c>
      <c r="E20" s="17">
        <f t="shared" si="3"/>
        <v>0.1779265734654018</v>
      </c>
      <c r="F20" s="17">
        <f t="shared" si="3"/>
        <v>0.18801345686283549</v>
      </c>
      <c r="G20" s="17">
        <f t="shared" si="3"/>
        <v>0.1996017202927193</v>
      </c>
      <c r="H20" s="23">
        <f t="shared" si="0"/>
        <v>6.1999805270176039E-2</v>
      </c>
      <c r="I20" s="23">
        <f t="shared" si="1"/>
        <v>0.24478345645461982</v>
      </c>
      <c r="J20" s="23">
        <f t="shared" si="2"/>
        <v>0.39642389813443529</v>
      </c>
      <c r="K20" s="25"/>
      <c r="L20" s="25"/>
    </row>
    <row r="22" spans="1:12" x14ac:dyDescent="0.25">
      <c r="K22" s="10"/>
      <c r="L22" s="10"/>
    </row>
    <row r="23" spans="1:12" s="9" customFormat="1" x14ac:dyDescent="0.25">
      <c r="A23" s="8"/>
      <c r="B23" s="6"/>
      <c r="C23" s="6"/>
      <c r="D23" s="6"/>
      <c r="E23" s="6"/>
      <c r="F23" s="6"/>
      <c r="G23" s="6"/>
      <c r="H23" s="6"/>
      <c r="K23" s="6"/>
      <c r="L23" s="6"/>
    </row>
  </sheetData>
  <mergeCells count="2">
    <mergeCell ref="K18:K19"/>
    <mergeCell ref="L18:L19"/>
  </mergeCells>
  <hyperlinks>
    <hyperlink ref="A1" location="Contenido!A1" display="Contenido" xr:uid="{59DBD427-DB86-43D7-8CFB-0D8DD7BFD71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2FDC-6220-4DB3-BE99-A16494F1DE60}">
  <sheetPr>
    <tabColor rgb="FFD18316"/>
  </sheetPr>
  <dimension ref="A1:L23"/>
  <sheetViews>
    <sheetView topLeftCell="A3" zoomScale="70" zoomScaleNormal="70" workbookViewId="0">
      <selection activeCell="K3" sqref="K1:L104857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2" x14ac:dyDescent="0.25">
      <c r="A1" s="1" t="s">
        <v>0</v>
      </c>
    </row>
    <row r="2" spans="1:12" x14ac:dyDescent="0.25">
      <c r="A2" s="1"/>
    </row>
    <row r="3" spans="1:12" ht="15.6" x14ac:dyDescent="0.3">
      <c r="A3" s="4" t="s">
        <v>16</v>
      </c>
    </row>
    <row r="4" spans="1:12" x14ac:dyDescent="0.25">
      <c r="A4" s="14" t="s">
        <v>20</v>
      </c>
      <c r="B4" s="15" t="s">
        <v>21</v>
      </c>
      <c r="C4" s="15" t="s">
        <v>22</v>
      </c>
      <c r="D4" s="15" t="s">
        <v>23</v>
      </c>
      <c r="E4" s="15" t="s">
        <v>24</v>
      </c>
      <c r="F4" s="15" t="s">
        <v>25</v>
      </c>
      <c r="G4" s="16" t="s">
        <v>26</v>
      </c>
      <c r="H4" s="20" t="s">
        <v>27</v>
      </c>
      <c r="I4" s="20" t="s">
        <v>28</v>
      </c>
      <c r="J4" s="20" t="s">
        <v>29</v>
      </c>
      <c r="K4" s="21" t="s">
        <v>30</v>
      </c>
      <c r="L4" s="22" t="s">
        <v>31</v>
      </c>
    </row>
    <row r="5" spans="1:12" x14ac:dyDescent="0.25">
      <c r="A5" s="13" t="s">
        <v>32</v>
      </c>
      <c r="B5" s="17">
        <v>12.530927720199788</v>
      </c>
      <c r="C5" s="17">
        <v>10.922739581210672</v>
      </c>
      <c r="D5" s="17">
        <v>10.29488762023901</v>
      </c>
      <c r="E5" s="17">
        <v>9.6773663153399561</v>
      </c>
      <c r="F5" s="17">
        <v>9.2068433045416551</v>
      </c>
      <c r="G5" s="17">
        <v>8.6237169743051219</v>
      </c>
      <c r="H5" s="23">
        <f>+(C5-B5)/B5</f>
        <v>-0.12833751617581554</v>
      </c>
      <c r="I5" s="23">
        <f>(E5-B5)/B5</f>
        <v>-0.22772147989170077</v>
      </c>
      <c r="J5" s="23">
        <f>(G5-B5)/B5</f>
        <v>-0.31180538529451923</v>
      </c>
      <c r="K5" s="24">
        <v>1</v>
      </c>
      <c r="L5" s="24">
        <v>3.5</v>
      </c>
    </row>
    <row r="6" spans="1:12" x14ac:dyDescent="0.25">
      <c r="A6" s="13" t="s">
        <v>33</v>
      </c>
      <c r="B6" s="17">
        <v>1.8454680288148511</v>
      </c>
      <c r="C6" s="17">
        <v>1.7099815771126374</v>
      </c>
      <c r="D6" s="17">
        <v>1.6689328342051886</v>
      </c>
      <c r="E6" s="17">
        <v>1.6342827742104487</v>
      </c>
      <c r="F6" s="17">
        <v>1.6096477182435858</v>
      </c>
      <c r="G6" s="17">
        <v>1.5696813084694821</v>
      </c>
      <c r="H6" s="23">
        <f t="shared" ref="H6:H20" si="0">+(C6-B6)/B6</f>
        <v>-7.3415767483776054E-2</v>
      </c>
      <c r="I6" s="23">
        <f t="shared" ref="I6:I20" si="1">(E6-B6)/B6</f>
        <v>-0.11443452355011773</v>
      </c>
      <c r="J6" s="23">
        <f t="shared" ref="J6:J20" si="2">(G6-B6)/B6</f>
        <v>-0.14943998814353757</v>
      </c>
      <c r="K6" s="24">
        <v>0.1</v>
      </c>
      <c r="L6" s="24">
        <v>0.27300000000000002</v>
      </c>
    </row>
    <row r="7" spans="1:12" ht="17.399999999999999" x14ac:dyDescent="0.25">
      <c r="A7" s="13" t="s">
        <v>34</v>
      </c>
      <c r="B7" s="17">
        <v>0.49297078815026435</v>
      </c>
      <c r="C7" s="17">
        <v>0.45498574519017204</v>
      </c>
      <c r="D7" s="17">
        <v>0.45984380525280844</v>
      </c>
      <c r="E7" s="17">
        <v>0.46439114816476046</v>
      </c>
      <c r="F7" s="17">
        <v>0.48085938766754222</v>
      </c>
      <c r="G7" s="17">
        <v>0.47634836083879356</v>
      </c>
      <c r="H7" s="23">
        <f t="shared" si="0"/>
        <v>-7.7053334341818935E-2</v>
      </c>
      <c r="I7" s="23">
        <f t="shared" si="1"/>
        <v>-5.7974307347380634E-2</v>
      </c>
      <c r="J7" s="23">
        <f t="shared" si="2"/>
        <v>-3.3718889051908778E-2</v>
      </c>
      <c r="K7" s="25"/>
      <c r="L7" s="25"/>
    </row>
    <row r="8" spans="1:12" x14ac:dyDescent="0.25">
      <c r="A8" s="13" t="s">
        <v>35</v>
      </c>
      <c r="B8" s="17">
        <v>0.78858622425250324</v>
      </c>
      <c r="C8" s="17">
        <v>0.68767415153513134</v>
      </c>
      <c r="D8" s="17">
        <v>0.6676008615854917</v>
      </c>
      <c r="E8" s="17">
        <v>0.63466868265407705</v>
      </c>
      <c r="F8" s="17">
        <v>0.60912957383638744</v>
      </c>
      <c r="G8" s="17">
        <v>0.57888822658882522</v>
      </c>
      <c r="H8" s="23">
        <f t="shared" si="0"/>
        <v>-0.12796580717983747</v>
      </c>
      <c r="I8" s="23">
        <f t="shared" si="1"/>
        <v>-0.19518162613647458</v>
      </c>
      <c r="J8" s="23">
        <f t="shared" si="2"/>
        <v>-0.26591638455572775</v>
      </c>
      <c r="K8" s="24">
        <v>0.06</v>
      </c>
      <c r="L8" s="24">
        <v>0.20300000000000001</v>
      </c>
    </row>
    <row r="9" spans="1:12" ht="17.399999999999999" x14ac:dyDescent="0.25">
      <c r="A9" s="13" t="s">
        <v>36</v>
      </c>
      <c r="B9" s="17">
        <v>2.047218385780542E-3</v>
      </c>
      <c r="C9" s="17">
        <v>1.7378701682071896E-3</v>
      </c>
      <c r="D9" s="17">
        <v>1.6069440003118201E-3</v>
      </c>
      <c r="E9" s="17">
        <v>1.4813772628072877E-3</v>
      </c>
      <c r="F9" s="17">
        <v>1.3451833209906004E-3</v>
      </c>
      <c r="G9" s="17">
        <v>1.2019925893069596E-3</v>
      </c>
      <c r="H9" s="23">
        <f t="shared" si="0"/>
        <v>-0.15110660382986321</v>
      </c>
      <c r="I9" s="23">
        <f t="shared" si="1"/>
        <v>-0.27639509634313697</v>
      </c>
      <c r="J9" s="23">
        <f t="shared" si="2"/>
        <v>-0.41286547753981973</v>
      </c>
      <c r="K9" s="25"/>
      <c r="L9" s="25"/>
    </row>
    <row r="10" spans="1:12" ht="17.399999999999999" x14ac:dyDescent="0.25">
      <c r="A10" s="13" t="s">
        <v>37</v>
      </c>
      <c r="B10" s="17">
        <v>7.0207885462279351E-2</v>
      </c>
      <c r="C10" s="17">
        <v>6.8817630304610466E-2</v>
      </c>
      <c r="D10" s="17">
        <v>6.9144340266662621E-2</v>
      </c>
      <c r="E10" s="17">
        <v>6.992218802737836E-2</v>
      </c>
      <c r="F10" s="17">
        <v>7.0469253431921106E-2</v>
      </c>
      <c r="G10" s="17">
        <v>7.0923866868478846E-2</v>
      </c>
      <c r="H10" s="23">
        <f t="shared" si="0"/>
        <v>-1.9801980198019615E-2</v>
      </c>
      <c r="I10" s="23">
        <f t="shared" si="1"/>
        <v>-4.0693069306935404E-3</v>
      </c>
      <c r="J10" s="23">
        <f t="shared" si="2"/>
        <v>1.0198019801980379E-2</v>
      </c>
      <c r="K10" s="25"/>
      <c r="L10" s="25"/>
    </row>
    <row r="11" spans="1:12" ht="17.399999999999999" x14ac:dyDescent="0.25">
      <c r="A11" s="13" t="s">
        <v>38</v>
      </c>
      <c r="B11" s="17">
        <v>7.3019007657791424E-3</v>
      </c>
      <c r="C11" s="17">
        <v>6.3770812296170525E-3</v>
      </c>
      <c r="D11" s="17">
        <v>6.0174591221800935E-3</v>
      </c>
      <c r="E11" s="17">
        <v>5.6644481048212436E-3</v>
      </c>
      <c r="F11" s="17">
        <v>5.3956840362844758E-3</v>
      </c>
      <c r="G11" s="17">
        <v>5.0275645038865592E-3</v>
      </c>
      <c r="H11" s="23">
        <f t="shared" si="0"/>
        <v>-0.12665462950363829</v>
      </c>
      <c r="I11" s="23">
        <f t="shared" si="1"/>
        <v>-0.22425019367997068</v>
      </c>
      <c r="J11" s="23">
        <f t="shared" si="2"/>
        <v>-0.31147181190840278</v>
      </c>
      <c r="K11" s="25"/>
      <c r="L11" s="25"/>
    </row>
    <row r="12" spans="1:12" ht="17.399999999999999" x14ac:dyDescent="0.25">
      <c r="A12" s="13" t="s">
        <v>39</v>
      </c>
      <c r="B12" s="17">
        <v>1.8310808271532506E-2</v>
      </c>
      <c r="C12" s="17">
        <v>3.0835755818040822E-2</v>
      </c>
      <c r="D12" s="17">
        <v>4.6958688517710241E-2</v>
      </c>
      <c r="E12" s="17">
        <v>6.3976345833175463E-2</v>
      </c>
      <c r="F12" s="17">
        <v>7.3105401026191688E-2</v>
      </c>
      <c r="G12" s="17">
        <v>8.638194296490502E-2</v>
      </c>
      <c r="H12" s="23">
        <f t="shared" si="0"/>
        <v>0.68401937046004857</v>
      </c>
      <c r="I12" s="23">
        <f t="shared" si="1"/>
        <v>2.4939116222760287</v>
      </c>
      <c r="J12" s="23">
        <f t="shared" si="2"/>
        <v>3.7175384987893474</v>
      </c>
      <c r="K12" s="25"/>
      <c r="L12" s="25"/>
    </row>
    <row r="13" spans="1:12" ht="17.399999999999999" x14ac:dyDescent="0.25">
      <c r="A13" s="13" t="s">
        <v>40</v>
      </c>
      <c r="B13" s="17">
        <v>6.9040539841649803E-2</v>
      </c>
      <c r="C13" s="17">
        <v>7.8245945153869789E-2</v>
      </c>
      <c r="D13" s="17">
        <v>9.1877616187048844E-2</v>
      </c>
      <c r="E13" s="17">
        <v>9.6255553530118804E-2</v>
      </c>
      <c r="F13" s="17">
        <v>0.10648444648963575</v>
      </c>
      <c r="G13" s="17">
        <v>0.11592044720492684</v>
      </c>
      <c r="H13" s="23">
        <f t="shared" si="0"/>
        <v>0.1333333333333335</v>
      </c>
      <c r="I13" s="23">
        <f t="shared" si="1"/>
        <v>0.39418888888888887</v>
      </c>
      <c r="J13" s="23">
        <f t="shared" si="2"/>
        <v>0.67901999999999973</v>
      </c>
      <c r="K13" s="25"/>
      <c r="L13" s="25"/>
    </row>
    <row r="14" spans="1:12" ht="17.399999999999999" x14ac:dyDescent="0.25">
      <c r="A14" s="13" t="s">
        <v>41</v>
      </c>
      <c r="B14" s="17">
        <v>2.9668123553870204E-2</v>
      </c>
      <c r="C14" s="17">
        <v>2.7014941654731967E-2</v>
      </c>
      <c r="D14" s="17">
        <v>2.6587348152048031E-2</v>
      </c>
      <c r="E14" s="17">
        <v>2.6366583055018395E-2</v>
      </c>
      <c r="F14" s="17">
        <v>2.5215840769409918E-2</v>
      </c>
      <c r="G14" s="17">
        <v>2.4402074545113058E-2</v>
      </c>
      <c r="H14" s="23">
        <f t="shared" si="0"/>
        <v>-8.942870600901652E-2</v>
      </c>
      <c r="I14" s="23">
        <f t="shared" si="1"/>
        <v>-0.1112824170648003</v>
      </c>
      <c r="J14" s="23">
        <f t="shared" si="2"/>
        <v>-0.17749855326021083</v>
      </c>
      <c r="K14" s="25"/>
      <c r="L14" s="25"/>
    </row>
    <row r="15" spans="1:12" x14ac:dyDescent="0.25">
      <c r="A15" s="13" t="s">
        <v>42</v>
      </c>
      <c r="B15" s="17">
        <v>175.19314249063927</v>
      </c>
      <c r="C15" s="17">
        <v>166.43348536610739</v>
      </c>
      <c r="D15" s="17">
        <v>163.08729634453621</v>
      </c>
      <c r="E15" s="17">
        <v>161.43147087208177</v>
      </c>
      <c r="F15" s="17">
        <v>160.99667323442384</v>
      </c>
      <c r="G15" s="17">
        <v>158.02904163873114</v>
      </c>
      <c r="H15" s="23">
        <f t="shared" si="0"/>
        <v>-4.9999999999999545E-2</v>
      </c>
      <c r="I15" s="23">
        <f t="shared" si="1"/>
        <v>-7.8551428571428231E-2</v>
      </c>
      <c r="J15" s="23">
        <f t="shared" si="2"/>
        <v>-9.7972446911415059E-2</v>
      </c>
      <c r="K15" s="24">
        <v>95</v>
      </c>
      <c r="L15" s="24">
        <v>255</v>
      </c>
    </row>
    <row r="16" spans="1:12" ht="17.399999999999999" x14ac:dyDescent="0.25">
      <c r="A16" s="13" t="s">
        <v>43</v>
      </c>
      <c r="B16" s="17">
        <v>3.1470799045055569E-3</v>
      </c>
      <c r="C16" s="17">
        <v>3.117463996538442E-3</v>
      </c>
      <c r="D16" s="17">
        <v>3.1325836969216527E-3</v>
      </c>
      <c r="E16" s="17">
        <v>3.1972492526018493E-3</v>
      </c>
      <c r="F16" s="17">
        <v>3.2327852246983924E-3</v>
      </c>
      <c r="G16" s="17">
        <v>3.2694746584736537E-3</v>
      </c>
      <c r="H16" s="23">
        <f t="shared" si="0"/>
        <v>-9.4105993065873202E-3</v>
      </c>
      <c r="I16" s="23">
        <f t="shared" si="1"/>
        <v>1.5941555225358828E-2</v>
      </c>
      <c r="J16" s="23">
        <f t="shared" si="2"/>
        <v>3.8891530460624393E-2</v>
      </c>
      <c r="K16" s="25"/>
      <c r="L16" s="25"/>
    </row>
    <row r="17" spans="1:12" ht="17.399999999999999" x14ac:dyDescent="0.25">
      <c r="A17" s="13" t="s">
        <v>44</v>
      </c>
      <c r="B17" s="17">
        <v>0.41229194996409513</v>
      </c>
      <c r="C17" s="17">
        <v>0.41229194996409513</v>
      </c>
      <c r="D17" s="17">
        <v>0.41847632921355649</v>
      </c>
      <c r="E17" s="17">
        <v>0.4275467521127666</v>
      </c>
      <c r="F17" s="17">
        <v>0.43538029916208443</v>
      </c>
      <c r="G17" s="17">
        <v>0.44280155426143819</v>
      </c>
      <c r="H17" s="23">
        <f t="shared" si="0"/>
        <v>0</v>
      </c>
      <c r="I17" s="23">
        <f t="shared" si="1"/>
        <v>3.6999999999999894E-2</v>
      </c>
      <c r="J17" s="23">
        <f t="shared" si="2"/>
        <v>7.4000000000000052E-2</v>
      </c>
      <c r="K17" s="25"/>
      <c r="L17" s="25"/>
    </row>
    <row r="18" spans="1:12" x14ac:dyDescent="0.25">
      <c r="A18" s="13" t="s">
        <v>45</v>
      </c>
      <c r="B18" s="17">
        <v>1.0423539824334855E-2</v>
      </c>
      <c r="C18" s="17">
        <v>8.5283507653648831E-3</v>
      </c>
      <c r="D18" s="17">
        <v>7.6944675794180933E-3</v>
      </c>
      <c r="E18" s="17">
        <v>6.8785886895315201E-3</v>
      </c>
      <c r="F18" s="17">
        <v>6.0039589388168769E-3</v>
      </c>
      <c r="G18" s="17">
        <v>5.0885826233343801E-3</v>
      </c>
      <c r="H18" s="23">
        <f t="shared" si="0"/>
        <v>-0.18181818181818163</v>
      </c>
      <c r="I18" s="23">
        <f t="shared" si="1"/>
        <v>-0.340090909090909</v>
      </c>
      <c r="J18" s="23">
        <f t="shared" si="2"/>
        <v>-0.51181818181818173</v>
      </c>
      <c r="K18" s="27">
        <v>5.0000000000000001E-3</v>
      </c>
      <c r="L18" s="29">
        <v>7.0000000000000001E-3</v>
      </c>
    </row>
    <row r="19" spans="1:12" s="9" customFormat="1" x14ac:dyDescent="0.25">
      <c r="A19" s="13" t="s">
        <v>46</v>
      </c>
      <c r="B19" s="17">
        <v>4.1427323750443203E-2</v>
      </c>
      <c r="C19" s="17">
        <v>3.3895083068544433E-2</v>
      </c>
      <c r="D19" s="17">
        <v>3.0580897168508973E-2</v>
      </c>
      <c r="E19" s="17">
        <v>2.7338267554951553E-2</v>
      </c>
      <c r="F19" s="17">
        <v>2.3862138480255278E-2</v>
      </c>
      <c r="G19" s="17">
        <v>2.0224066230898178E-2</v>
      </c>
      <c r="H19" s="23">
        <f t="shared" si="0"/>
        <v>-0.18181818181818193</v>
      </c>
      <c r="I19" s="23">
        <f t="shared" si="1"/>
        <v>-0.34009090909090939</v>
      </c>
      <c r="J19" s="23">
        <f t="shared" si="2"/>
        <v>-0.51181818181818195</v>
      </c>
      <c r="K19" s="28"/>
      <c r="L19" s="30"/>
    </row>
    <row r="20" spans="1:12" ht="17.399999999999999" x14ac:dyDescent="0.25">
      <c r="A20" s="13" t="s">
        <v>47</v>
      </c>
      <c r="B20" s="17">
        <f>B11+B12+B13+B14+B17</f>
        <v>0.53661332239692683</v>
      </c>
      <c r="C20" s="17">
        <f t="shared" ref="C20:G20" si="3">C11+C12+C13+C14+C17</f>
        <v>0.5547656738203548</v>
      </c>
      <c r="D20" s="17">
        <f t="shared" si="3"/>
        <v>0.58991744119254363</v>
      </c>
      <c r="E20" s="17">
        <f t="shared" si="3"/>
        <v>0.61980968263590053</v>
      </c>
      <c r="F20" s="17">
        <f t="shared" si="3"/>
        <v>0.64558167148360623</v>
      </c>
      <c r="G20" s="17">
        <f t="shared" si="3"/>
        <v>0.67453358348026971</v>
      </c>
      <c r="H20" s="23">
        <f t="shared" si="0"/>
        <v>3.3827619751119191E-2</v>
      </c>
      <c r="I20" s="23">
        <f t="shared" si="1"/>
        <v>0.15503968456719433</v>
      </c>
      <c r="J20" s="23">
        <f t="shared" si="2"/>
        <v>0.25701982289087638</v>
      </c>
      <c r="K20" s="25"/>
      <c r="L20" s="25"/>
    </row>
    <row r="22" spans="1:12" x14ac:dyDescent="0.25">
      <c r="K22" s="10"/>
      <c r="L22" s="10"/>
    </row>
    <row r="23" spans="1:12" s="9" customFormat="1" x14ac:dyDescent="0.25">
      <c r="A23" s="8"/>
      <c r="B23" s="6"/>
      <c r="C23" s="6"/>
      <c r="D23" s="6"/>
      <c r="E23" s="6"/>
      <c r="F23" s="6"/>
      <c r="G23" s="6"/>
      <c r="K23" s="6"/>
      <c r="L23" s="6"/>
    </row>
  </sheetData>
  <mergeCells count="2">
    <mergeCell ref="K18:K19"/>
    <mergeCell ref="L18:L19"/>
  </mergeCells>
  <hyperlinks>
    <hyperlink ref="A1" location="Contenido!A1" display="Contenido" xr:uid="{8024875A-C68E-44CA-9E4C-41CE122B8C69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BCA3-2C11-453F-90B8-770E763C4347}">
  <sheetPr>
    <tabColor rgb="FFD18316"/>
  </sheetPr>
  <dimension ref="A1:L32"/>
  <sheetViews>
    <sheetView zoomScale="70" zoomScaleNormal="70" workbookViewId="0">
      <selection activeCell="K1" sqref="K1:L1048576"/>
    </sheetView>
  </sheetViews>
  <sheetFormatPr baseColWidth="10" defaultColWidth="27.664062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0" width="15.6640625" style="6" customWidth="1"/>
    <col min="11" max="12" width="10.77734375" style="6"/>
    <col min="13" max="16384" width="27.6640625" style="6"/>
  </cols>
  <sheetData>
    <row r="1" spans="1:12" x14ac:dyDescent="0.25">
      <c r="A1" s="1" t="s">
        <v>0</v>
      </c>
    </row>
    <row r="2" spans="1:12" x14ac:dyDescent="0.25">
      <c r="A2" s="1"/>
    </row>
    <row r="3" spans="1:12" ht="15.6" x14ac:dyDescent="0.3">
      <c r="A3" s="4" t="s">
        <v>17</v>
      </c>
    </row>
    <row r="4" spans="1:12" x14ac:dyDescent="0.25">
      <c r="A4" s="14" t="s">
        <v>20</v>
      </c>
      <c r="B4" s="15" t="s">
        <v>21</v>
      </c>
      <c r="C4" s="15" t="s">
        <v>22</v>
      </c>
      <c r="D4" s="15" t="s">
        <v>23</v>
      </c>
      <c r="E4" s="15" t="s">
        <v>24</v>
      </c>
      <c r="F4" s="15" t="s">
        <v>25</v>
      </c>
      <c r="G4" s="16" t="s">
        <v>26</v>
      </c>
      <c r="H4" s="20" t="s">
        <v>27</v>
      </c>
      <c r="I4" s="20" t="s">
        <v>28</v>
      </c>
      <c r="J4" s="20" t="s">
        <v>29</v>
      </c>
      <c r="K4" s="21" t="s">
        <v>30</v>
      </c>
      <c r="L4" s="22" t="s">
        <v>31</v>
      </c>
    </row>
    <row r="5" spans="1:12" x14ac:dyDescent="0.25">
      <c r="A5" s="13" t="s">
        <v>32</v>
      </c>
      <c r="B5" s="17">
        <v>4.8942976943310601</v>
      </c>
      <c r="C5" s="17">
        <v>4.4196197342572567</v>
      </c>
      <c r="D5" s="17">
        <v>4.2522353734685705</v>
      </c>
      <c r="E5" s="17">
        <v>4.0962696448374674</v>
      </c>
      <c r="F5" s="17">
        <v>3.9801055164969656</v>
      </c>
      <c r="G5" s="17">
        <v>3.8175961919792507</v>
      </c>
      <c r="H5" s="23">
        <f>+(C5-B5)/B5</f>
        <v>-9.698591906732823E-2</v>
      </c>
      <c r="I5" s="23">
        <f>(E5-B5)/B5</f>
        <v>-0.16305261742004951</v>
      </c>
      <c r="J5" s="23">
        <f>(G5-B5)/B5</f>
        <v>-0.21999101190737239</v>
      </c>
      <c r="K5" s="24">
        <v>1</v>
      </c>
      <c r="L5" s="24">
        <v>3.5</v>
      </c>
    </row>
    <row r="6" spans="1:12" x14ac:dyDescent="0.25">
      <c r="A6" s="13" t="s">
        <v>33</v>
      </c>
      <c r="B6" s="17">
        <v>0.39729821970159929</v>
      </c>
      <c r="C6" s="17">
        <v>0.37707854830951892</v>
      </c>
      <c r="D6" s="17">
        <v>0.37278080819517739</v>
      </c>
      <c r="E6" s="17">
        <v>0.37029118723513937</v>
      </c>
      <c r="F6" s="17">
        <v>0.36893052626828887</v>
      </c>
      <c r="G6" s="17">
        <v>0.36515996600284684</v>
      </c>
      <c r="H6" s="23">
        <f t="shared" ref="H6:H20" si="0">+(C6-B6)/B6</f>
        <v>-5.0892932284637094E-2</v>
      </c>
      <c r="I6" s="23">
        <f t="shared" ref="I6:I20" si="1">(E6-B6)/B6</f>
        <v>-6.797672661796525E-2</v>
      </c>
      <c r="J6" s="23">
        <f t="shared" ref="J6:J20" si="2">(G6-B6)/B6</f>
        <v>-8.0892015380513618E-2</v>
      </c>
      <c r="K6" s="24">
        <v>0.1</v>
      </c>
      <c r="L6" s="24">
        <v>0.27300000000000002</v>
      </c>
    </row>
    <row r="7" spans="1:12" ht="17.399999999999999" x14ac:dyDescent="0.25">
      <c r="A7" s="13" t="s">
        <v>34</v>
      </c>
      <c r="B7" s="17">
        <v>0.49297078815026435</v>
      </c>
      <c r="C7" s="17">
        <v>0.45498574519017204</v>
      </c>
      <c r="D7" s="17">
        <v>0.45984380525280844</v>
      </c>
      <c r="E7" s="17">
        <v>0.46439114816476046</v>
      </c>
      <c r="F7" s="17">
        <v>0.48085938766754222</v>
      </c>
      <c r="G7" s="17">
        <v>0.47634836083879356</v>
      </c>
      <c r="H7" s="23">
        <f t="shared" si="0"/>
        <v>-7.7053334341818935E-2</v>
      </c>
      <c r="I7" s="23">
        <f t="shared" si="1"/>
        <v>-5.7974307347380634E-2</v>
      </c>
      <c r="J7" s="23">
        <f t="shared" si="2"/>
        <v>-3.3718889051908778E-2</v>
      </c>
      <c r="K7" s="25"/>
      <c r="L7" s="25"/>
    </row>
    <row r="8" spans="1:12" x14ac:dyDescent="0.25">
      <c r="A8" s="13" t="s">
        <v>35</v>
      </c>
      <c r="B8" s="17">
        <v>0.3986376964188052</v>
      </c>
      <c r="C8" s="17">
        <v>0.34722243879201803</v>
      </c>
      <c r="D8" s="17">
        <v>0.33665984245056718</v>
      </c>
      <c r="E8" s="17">
        <v>0.31957639129917442</v>
      </c>
      <c r="F8" s="17">
        <v>0.30621730167448558</v>
      </c>
      <c r="G8" s="17">
        <v>0.29046787895634429</v>
      </c>
      <c r="H8" s="23">
        <f t="shared" si="0"/>
        <v>-0.12897741003593088</v>
      </c>
      <c r="I8" s="23">
        <f t="shared" si="1"/>
        <v>-0.19832872262178056</v>
      </c>
      <c r="J8" s="23">
        <f t="shared" si="2"/>
        <v>-0.27134869189294797</v>
      </c>
      <c r="K8" s="24">
        <v>0.06</v>
      </c>
      <c r="L8" s="24">
        <v>0.20300000000000001</v>
      </c>
    </row>
    <row r="9" spans="1:12" ht="17.399999999999999" x14ac:dyDescent="0.25">
      <c r="A9" s="13" t="s">
        <v>36</v>
      </c>
      <c r="B9" s="17">
        <v>2.700974642385104E-3</v>
      </c>
      <c r="C9" s="17">
        <v>2.2928395371437115E-3</v>
      </c>
      <c r="D9" s="17">
        <v>2.1201035642908601E-3</v>
      </c>
      <c r="E9" s="17">
        <v>1.954438495882704E-3</v>
      </c>
      <c r="F9" s="17">
        <v>1.7747525445213925E-3</v>
      </c>
      <c r="G9" s="17">
        <v>1.5858354568338345E-3</v>
      </c>
      <c r="H9" s="23">
        <f t="shared" si="0"/>
        <v>-0.15110660382986324</v>
      </c>
      <c r="I9" s="23">
        <f t="shared" si="1"/>
        <v>-0.27639509634313669</v>
      </c>
      <c r="J9" s="23">
        <f t="shared" si="2"/>
        <v>-0.41286547753981961</v>
      </c>
      <c r="K9" s="25"/>
      <c r="L9" s="25"/>
    </row>
    <row r="10" spans="1:12" ht="17.399999999999999" x14ac:dyDescent="0.25">
      <c r="A10" s="13" t="s">
        <v>37</v>
      </c>
      <c r="B10" s="17">
        <v>7.4554774454997155E-2</v>
      </c>
      <c r="C10" s="17">
        <v>7.307844228757146E-2</v>
      </c>
      <c r="D10" s="17">
        <v>7.3425380346916494E-2</v>
      </c>
      <c r="E10" s="17">
        <v>7.4251388194591164E-2</v>
      </c>
      <c r="F10" s="17">
        <v>7.4832324902473171E-2</v>
      </c>
      <c r="G10" s="17">
        <v>7.5315085521221375E-2</v>
      </c>
      <c r="H10" s="23">
        <f t="shared" si="0"/>
        <v>-1.980198019801992E-2</v>
      </c>
      <c r="I10" s="23">
        <f t="shared" si="1"/>
        <v>-4.0693069306932386E-3</v>
      </c>
      <c r="J10" s="23">
        <f t="shared" si="2"/>
        <v>1.0198019801980087E-2</v>
      </c>
      <c r="K10" s="25"/>
      <c r="L10" s="25"/>
    </row>
    <row r="11" spans="1:12" ht="17.399999999999999" x14ac:dyDescent="0.25">
      <c r="A11" s="13" t="s">
        <v>38</v>
      </c>
      <c r="B11" s="17">
        <v>4.7955990157084157E-3</v>
      </c>
      <c r="C11" s="17">
        <v>4.609143284417987E-3</v>
      </c>
      <c r="D11" s="17">
        <v>4.5864903601904117E-3</v>
      </c>
      <c r="E11" s="17">
        <v>4.5884343996052479E-3</v>
      </c>
      <c r="F11" s="17">
        <v>4.5973934067702633E-3</v>
      </c>
      <c r="G11" s="17">
        <v>4.5829976109303585E-3</v>
      </c>
      <c r="H11" s="23">
        <f t="shared" si="0"/>
        <v>-3.8880592534879618E-2</v>
      </c>
      <c r="I11" s="23">
        <f t="shared" si="1"/>
        <v>-4.3198902874193909E-2</v>
      </c>
      <c r="J11" s="23">
        <f t="shared" si="2"/>
        <v>-4.4332606642394863E-2</v>
      </c>
      <c r="K11" s="25"/>
      <c r="L11" s="25"/>
    </row>
    <row r="12" spans="1:12" ht="17.399999999999999" x14ac:dyDescent="0.25">
      <c r="A12" s="13" t="s">
        <v>39</v>
      </c>
      <c r="B12" s="17">
        <v>8.6295657293973885E-3</v>
      </c>
      <c r="C12" s="17">
        <v>1.4532355846963399E-2</v>
      </c>
      <c r="D12" s="17">
        <v>2.2130813840691453E-2</v>
      </c>
      <c r="E12" s="17">
        <v>3.0150939997136448E-2</v>
      </c>
      <c r="F12" s="17">
        <v>3.4453305063014382E-2</v>
      </c>
      <c r="G12" s="17">
        <v>4.0710308556265361E-2</v>
      </c>
      <c r="H12" s="23">
        <f t="shared" si="0"/>
        <v>0.68401937046004846</v>
      </c>
      <c r="I12" s="23">
        <f t="shared" si="1"/>
        <v>2.4939116222760283</v>
      </c>
      <c r="J12" s="23">
        <f t="shared" si="2"/>
        <v>3.7175384987893478</v>
      </c>
      <c r="K12" s="25"/>
      <c r="L12" s="25"/>
    </row>
    <row r="13" spans="1:12" ht="17.399999999999999" x14ac:dyDescent="0.25">
      <c r="A13" s="13" t="s">
        <v>40</v>
      </c>
      <c r="B13" s="17">
        <v>2.57336542746281E-2</v>
      </c>
      <c r="C13" s="17">
        <v>2.9164808177911852E-2</v>
      </c>
      <c r="D13" s="17">
        <v>3.424577524969119E-2</v>
      </c>
      <c r="E13" s="17">
        <v>3.5877574860194543E-2</v>
      </c>
      <c r="F13" s="17">
        <v>3.9690215891625059E-2</v>
      </c>
      <c r="G13" s="17">
        <v>4.320732020018607E-2</v>
      </c>
      <c r="H13" s="23">
        <f t="shared" si="0"/>
        <v>0.13333333333333355</v>
      </c>
      <c r="I13" s="23">
        <f t="shared" si="1"/>
        <v>0.39418888888888837</v>
      </c>
      <c r="J13" s="23">
        <f t="shared" si="2"/>
        <v>0.67901999999999996</v>
      </c>
      <c r="K13" s="25"/>
      <c r="L13" s="25"/>
    </row>
    <row r="14" spans="1:12" ht="17.399999999999999" x14ac:dyDescent="0.25">
      <c r="A14" s="13" t="s">
        <v>41</v>
      </c>
      <c r="B14" s="17">
        <v>7.7611285458271638E-3</v>
      </c>
      <c r="C14" s="17">
        <v>7.0670608628041979E-3</v>
      </c>
      <c r="D14" s="17">
        <v>6.955203160254708E-3</v>
      </c>
      <c r="E14" s="17">
        <v>6.8974514020968998E-3</v>
      </c>
      <c r="F14" s="17">
        <v>6.596419259450273E-3</v>
      </c>
      <c r="G14" s="17">
        <v>6.3835394572763146E-3</v>
      </c>
      <c r="H14" s="23">
        <f t="shared" si="0"/>
        <v>-8.9428706009016853E-2</v>
      </c>
      <c r="I14" s="23">
        <f t="shared" si="1"/>
        <v>-0.1112824170648001</v>
      </c>
      <c r="J14" s="23">
        <f t="shared" si="2"/>
        <v>-0.1774985532602113</v>
      </c>
      <c r="K14" s="25"/>
      <c r="L14" s="25"/>
    </row>
    <row r="15" spans="1:12" x14ac:dyDescent="0.25">
      <c r="A15" s="13" t="s">
        <v>42</v>
      </c>
      <c r="B15" s="17">
        <v>227.62603227901417</v>
      </c>
      <c r="C15" s="17">
        <v>216.2447306650634</v>
      </c>
      <c r="D15" s="17">
        <v>211.89707344853423</v>
      </c>
      <c r="E15" s="17">
        <v>209.74568226345139</v>
      </c>
      <c r="F15" s="17">
        <v>208.71430931173506</v>
      </c>
      <c r="G15" s="17">
        <v>204.86710448232347</v>
      </c>
      <c r="H15" s="23">
        <f t="shared" si="0"/>
        <v>-5.000000000000026E-2</v>
      </c>
      <c r="I15" s="23">
        <f t="shared" si="1"/>
        <v>-7.8551428571429036E-2</v>
      </c>
      <c r="J15" s="23">
        <f t="shared" si="2"/>
        <v>-9.9983853203546538E-2</v>
      </c>
      <c r="K15" s="24">
        <v>95</v>
      </c>
      <c r="L15" s="24">
        <v>255</v>
      </c>
    </row>
    <row r="16" spans="1:12" ht="17.399999999999999" x14ac:dyDescent="0.25">
      <c r="A16" s="13" t="s">
        <v>43</v>
      </c>
      <c r="B16" s="17">
        <v>4.763923367731065E-3</v>
      </c>
      <c r="C16" s="17">
        <v>4.7190919937900606E-3</v>
      </c>
      <c r="D16" s="17">
        <v>4.7419795899599432E-3</v>
      </c>
      <c r="E16" s="17">
        <v>4.8398677151871277E-3</v>
      </c>
      <c r="F16" s="17">
        <v>4.8936606448243426E-3</v>
      </c>
      <c r="G16" s="17">
        <v>4.9491996384992566E-3</v>
      </c>
      <c r="H16" s="23">
        <f t="shared" si="0"/>
        <v>-9.4105993065871779E-3</v>
      </c>
      <c r="I16" s="23">
        <f t="shared" si="1"/>
        <v>1.5941555225358939E-2</v>
      </c>
      <c r="J16" s="23">
        <f t="shared" si="2"/>
        <v>3.8891530460624081E-2</v>
      </c>
      <c r="K16" s="25"/>
      <c r="L16" s="25"/>
    </row>
    <row r="17" spans="1:12" ht="17.399999999999999" x14ac:dyDescent="0.25">
      <c r="A17" s="13" t="s">
        <v>44</v>
      </c>
      <c r="B17" s="17">
        <v>8.6531681423830012E-2</v>
      </c>
      <c r="C17" s="17">
        <v>8.6531681423830012E-2</v>
      </c>
      <c r="D17" s="17">
        <v>8.7829656645187465E-2</v>
      </c>
      <c r="E17" s="17">
        <v>8.9733353636511734E-2</v>
      </c>
      <c r="F17" s="17">
        <v>9.1377455583564499E-2</v>
      </c>
      <c r="G17" s="17">
        <v>9.2935025849193442E-2</v>
      </c>
      <c r="H17" s="23">
        <f t="shared" si="0"/>
        <v>0</v>
      </c>
      <c r="I17" s="23">
        <f t="shared" si="1"/>
        <v>3.7000000000000137E-2</v>
      </c>
      <c r="J17" s="23">
        <f t="shared" si="2"/>
        <v>7.4000000000000107E-2</v>
      </c>
      <c r="K17" s="25"/>
      <c r="L17" s="25"/>
    </row>
    <row r="18" spans="1:12" x14ac:dyDescent="0.25">
      <c r="A18" s="13" t="s">
        <v>45</v>
      </c>
      <c r="B18" s="17">
        <v>1.2650000000000002E-2</v>
      </c>
      <c r="C18" s="17">
        <v>1.0349999999999998E-2</v>
      </c>
      <c r="D18" s="17">
        <v>9.3379999999999956E-3</v>
      </c>
      <c r="E18" s="17">
        <v>8.3478499999999969E-3</v>
      </c>
      <c r="F18" s="17">
        <v>7.2863999999999958E-3</v>
      </c>
      <c r="G18" s="17">
        <v>6.1754999999999987E-3</v>
      </c>
      <c r="H18" s="23">
        <f t="shared" si="0"/>
        <v>-0.18181818181818207</v>
      </c>
      <c r="I18" s="23">
        <f t="shared" si="1"/>
        <v>-0.34009090909090939</v>
      </c>
      <c r="J18" s="23">
        <f t="shared" si="2"/>
        <v>-0.51181818181818195</v>
      </c>
      <c r="K18" s="27">
        <v>5.0000000000000001E-3</v>
      </c>
      <c r="L18" s="29">
        <v>7.0000000000000001E-3</v>
      </c>
    </row>
    <row r="19" spans="1:12" s="9" customFormat="1" x14ac:dyDescent="0.25">
      <c r="A19" s="13" t="s">
        <v>46</v>
      </c>
      <c r="B19" s="17">
        <v>1.0085871722178723E-2</v>
      </c>
      <c r="C19" s="17">
        <v>8.252076863600773E-3</v>
      </c>
      <c r="D19" s="17">
        <v>7.4452071258264731E-3</v>
      </c>
      <c r="E19" s="17">
        <v>6.6557584392086663E-3</v>
      </c>
      <c r="F19" s="17">
        <v>5.8094621119749437E-3</v>
      </c>
      <c r="G19" s="17">
        <v>4.9237391952817932E-3</v>
      </c>
      <c r="H19" s="23">
        <f t="shared" si="0"/>
        <v>-0.18181818181818182</v>
      </c>
      <c r="I19" s="23">
        <f t="shared" si="1"/>
        <v>-0.34009090909090928</v>
      </c>
      <c r="J19" s="23">
        <f t="shared" si="2"/>
        <v>-0.51181818181818195</v>
      </c>
      <c r="K19" s="28"/>
      <c r="L19" s="30"/>
    </row>
    <row r="20" spans="1:12" ht="17.399999999999999" x14ac:dyDescent="0.25">
      <c r="A20" s="13" t="s">
        <v>47</v>
      </c>
      <c r="B20" s="17">
        <f>B11+B12+B13+B14+B17</f>
        <v>0.13345162898939109</v>
      </c>
      <c r="C20" s="17">
        <f t="shared" ref="C20:G20" si="3">C11+C12+C13+C14+C17</f>
        <v>0.14190504959592745</v>
      </c>
      <c r="D20" s="17">
        <f t="shared" si="3"/>
        <v>0.15574793925601521</v>
      </c>
      <c r="E20" s="17">
        <f t="shared" si="3"/>
        <v>0.16724775429554486</v>
      </c>
      <c r="F20" s="17">
        <f t="shared" si="3"/>
        <v>0.17671478920442446</v>
      </c>
      <c r="G20" s="17">
        <f t="shared" si="3"/>
        <v>0.18781919167385155</v>
      </c>
      <c r="H20" s="23">
        <f t="shared" si="0"/>
        <v>6.3344454245728099E-2</v>
      </c>
      <c r="I20" s="23">
        <f t="shared" si="1"/>
        <v>0.25324625530678568</v>
      </c>
      <c r="J20" s="23">
        <f t="shared" si="2"/>
        <v>0.40739527195117631</v>
      </c>
      <c r="K20" s="25"/>
      <c r="L20" s="25"/>
    </row>
    <row r="21" spans="1:12" x14ac:dyDescent="0.25">
      <c r="A21" s="6"/>
    </row>
    <row r="22" spans="1:12" x14ac:dyDescent="0.25">
      <c r="A22" s="6"/>
      <c r="K22" s="10"/>
      <c r="L22" s="10"/>
    </row>
    <row r="23" spans="1:12" s="9" customFormat="1" x14ac:dyDescent="0.25">
      <c r="K23" s="6"/>
      <c r="L23" s="6"/>
    </row>
    <row r="24" spans="1:12" x14ac:dyDescent="0.25">
      <c r="A24" s="6"/>
    </row>
    <row r="25" spans="1:12" x14ac:dyDescent="0.25">
      <c r="A25" s="6"/>
    </row>
    <row r="26" spans="1:12" x14ac:dyDescent="0.25">
      <c r="A26" s="6"/>
    </row>
    <row r="27" spans="1:12" x14ac:dyDescent="0.25">
      <c r="A27" s="6"/>
    </row>
    <row r="28" spans="1:12" x14ac:dyDescent="0.25">
      <c r="A28" s="6"/>
    </row>
    <row r="29" spans="1:12" x14ac:dyDescent="0.25">
      <c r="A29" s="6"/>
    </row>
    <row r="30" spans="1:12" x14ac:dyDescent="0.25">
      <c r="A30" s="6"/>
    </row>
    <row r="31" spans="1:12" x14ac:dyDescent="0.25">
      <c r="A31" s="6"/>
    </row>
    <row r="32" spans="1:12" x14ac:dyDescent="0.25">
      <c r="A32" s="6"/>
    </row>
  </sheetData>
  <mergeCells count="2">
    <mergeCell ref="K18:K19"/>
    <mergeCell ref="L18:L19"/>
  </mergeCells>
  <hyperlinks>
    <hyperlink ref="A1" location="Contenido!A1" display="Contenido" xr:uid="{DBB787E2-FF51-4CC6-8901-C8D6894370BD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A4DA-0B82-4384-B20A-836E2EB5282A}">
  <sheetPr>
    <tabColor rgb="FFD18316"/>
  </sheetPr>
  <dimension ref="A1:L23"/>
  <sheetViews>
    <sheetView zoomScale="70" zoomScaleNormal="70" workbookViewId="0">
      <selection activeCell="K1" sqref="K1:L1048576"/>
    </sheetView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2" x14ac:dyDescent="0.25">
      <c r="A1" s="1" t="s">
        <v>0</v>
      </c>
    </row>
    <row r="2" spans="1:12" x14ac:dyDescent="0.25">
      <c r="A2" s="1"/>
    </row>
    <row r="3" spans="1:12" ht="15.6" x14ac:dyDescent="0.3">
      <c r="A3" s="4" t="s">
        <v>18</v>
      </c>
    </row>
    <row r="4" spans="1:12" x14ac:dyDescent="0.25">
      <c r="A4" s="14" t="s">
        <v>20</v>
      </c>
      <c r="B4" s="15" t="s">
        <v>21</v>
      </c>
      <c r="C4" s="15" t="s">
        <v>22</v>
      </c>
      <c r="D4" s="15" t="s">
        <v>23</v>
      </c>
      <c r="E4" s="15" t="s">
        <v>24</v>
      </c>
      <c r="F4" s="15" t="s">
        <v>25</v>
      </c>
      <c r="G4" s="16" t="s">
        <v>26</v>
      </c>
      <c r="H4" s="20" t="s">
        <v>27</v>
      </c>
      <c r="I4" s="20" t="s">
        <v>28</v>
      </c>
      <c r="J4" s="20" t="s">
        <v>29</v>
      </c>
      <c r="K4" s="21" t="s">
        <v>30</v>
      </c>
      <c r="L4" s="22" t="s">
        <v>31</v>
      </c>
    </row>
    <row r="5" spans="1:12" x14ac:dyDescent="0.25">
      <c r="A5" s="13" t="s">
        <v>32</v>
      </c>
      <c r="B5" s="17">
        <v>5.6378063046238829</v>
      </c>
      <c r="C5" s="17">
        <v>4.8117409343404995</v>
      </c>
      <c r="D5" s="17">
        <v>4.4772542950883079</v>
      </c>
      <c r="E5" s="17">
        <v>4.14248212438482</v>
      </c>
      <c r="F5" s="17">
        <v>3.8856139836044852</v>
      </c>
      <c r="G5" s="17">
        <v>3.5695153828662232</v>
      </c>
      <c r="H5" s="23">
        <f>+(C5-B5)/B5</f>
        <v>-0.14652248155561509</v>
      </c>
      <c r="I5" s="23">
        <f>(E5-B5)/B5</f>
        <v>-0.26523156338533005</v>
      </c>
      <c r="J5" s="23">
        <f>(G5-B5)/B5</f>
        <v>-0.36686094023154675</v>
      </c>
      <c r="K5" s="24">
        <v>1</v>
      </c>
      <c r="L5" s="24">
        <v>3.5</v>
      </c>
    </row>
    <row r="6" spans="1:12" x14ac:dyDescent="0.25">
      <c r="A6" s="13" t="s">
        <v>33</v>
      </c>
      <c r="B6" s="17">
        <v>0.65955908535927565</v>
      </c>
      <c r="C6" s="17">
        <v>0.58808073342094225</v>
      </c>
      <c r="D6" s="17">
        <v>0.56171395029501192</v>
      </c>
      <c r="E6" s="17">
        <v>0.53652455026187995</v>
      </c>
      <c r="F6" s="17">
        <v>0.51756090233343954</v>
      </c>
      <c r="G6" s="17">
        <v>0.49082296998910208</v>
      </c>
      <c r="H6" s="23">
        <f t="shared" ref="H6:H20" si="0">+(C6-B6)/B6</f>
        <v>-0.10837293204656206</v>
      </c>
      <c r="I6" s="23">
        <f t="shared" ref="I6:I20" si="1">(E6-B6)/B6</f>
        <v>-0.18654058116776029</v>
      </c>
      <c r="J6" s="23">
        <f t="shared" ref="J6:J20" si="2">(G6-B6)/B6</f>
        <v>-0.25583168986029431</v>
      </c>
      <c r="K6" s="24">
        <v>0.1</v>
      </c>
      <c r="L6" s="24">
        <v>0.27300000000000002</v>
      </c>
    </row>
    <row r="7" spans="1:12" ht="17.399999999999999" x14ac:dyDescent="0.25">
      <c r="A7" s="13" t="s">
        <v>34</v>
      </c>
      <c r="B7" s="17">
        <v>0.49297078815026435</v>
      </c>
      <c r="C7" s="17">
        <v>0.45498574519017204</v>
      </c>
      <c r="D7" s="17">
        <v>0.45984380525280844</v>
      </c>
      <c r="E7" s="17">
        <v>0.46439114816476046</v>
      </c>
      <c r="F7" s="17">
        <v>0.48085938766754222</v>
      </c>
      <c r="G7" s="17">
        <v>0.47634836083879356</v>
      </c>
      <c r="H7" s="23">
        <f t="shared" si="0"/>
        <v>-7.7053334341818935E-2</v>
      </c>
      <c r="I7" s="23">
        <f t="shared" si="1"/>
        <v>-5.7974307347380634E-2</v>
      </c>
      <c r="J7" s="23">
        <f t="shared" si="2"/>
        <v>-3.3718889051908778E-2</v>
      </c>
      <c r="K7" s="25"/>
      <c r="L7" s="25"/>
    </row>
    <row r="8" spans="1:12" x14ac:dyDescent="0.25">
      <c r="A8" s="13" t="s">
        <v>35</v>
      </c>
      <c r="B8" s="17">
        <v>0.40856558253468045</v>
      </c>
      <c r="C8" s="17">
        <v>0.35646468079488491</v>
      </c>
      <c r="D8" s="17">
        <v>0.34625170170545871</v>
      </c>
      <c r="E8" s="17">
        <v>0.32938580523011379</v>
      </c>
      <c r="F8" s="17">
        <v>0.31635605829583768</v>
      </c>
      <c r="G8" s="17">
        <v>0.30089607749053798</v>
      </c>
      <c r="H8" s="23">
        <f t="shared" si="0"/>
        <v>-0.12752151421215965</v>
      </c>
      <c r="I8" s="23">
        <f t="shared" si="1"/>
        <v>-0.19379943071402889</v>
      </c>
      <c r="J8" s="23">
        <f t="shared" si="2"/>
        <v>-0.2635305313192971</v>
      </c>
      <c r="K8" s="24">
        <v>0.06</v>
      </c>
      <c r="L8" s="24">
        <v>0.20300000000000001</v>
      </c>
    </row>
    <row r="9" spans="1:12" ht="17.399999999999999" x14ac:dyDescent="0.25">
      <c r="A9" s="13" t="s">
        <v>36</v>
      </c>
      <c r="B9" s="17">
        <v>2.372308559822759E-3</v>
      </c>
      <c r="C9" s="17">
        <v>2.013837070111428E-3</v>
      </c>
      <c r="D9" s="17">
        <v>1.8621203451345985E-3</v>
      </c>
      <c r="E9" s="17">
        <v>1.7166141068748998E-3</v>
      </c>
      <c r="F9" s="17">
        <v>1.5587931063349187E-3</v>
      </c>
      <c r="G9" s="17">
        <v>1.3928642533997332E-3</v>
      </c>
      <c r="H9" s="23">
        <f t="shared" si="0"/>
        <v>-0.15110660382986318</v>
      </c>
      <c r="I9" s="23">
        <f t="shared" si="1"/>
        <v>-0.27639509634313664</v>
      </c>
      <c r="J9" s="23">
        <f t="shared" si="2"/>
        <v>-0.41286547753981989</v>
      </c>
      <c r="K9" s="25"/>
      <c r="L9" s="25"/>
    </row>
    <row r="10" spans="1:12" ht="17.399999999999999" x14ac:dyDescent="0.25">
      <c r="A10" s="13" t="s">
        <v>37</v>
      </c>
      <c r="B10" s="17">
        <v>7.283342122248937E-2</v>
      </c>
      <c r="C10" s="17">
        <v>7.1391175257687595E-2</v>
      </c>
      <c r="D10" s="17">
        <v>7.1730103059415989E-2</v>
      </c>
      <c r="E10" s="17">
        <v>7.2537039676722578E-2</v>
      </c>
      <c r="F10" s="17">
        <v>7.3104563463872105E-2</v>
      </c>
      <c r="G10" s="17">
        <v>7.3576177894362271E-2</v>
      </c>
      <c r="H10" s="23">
        <f t="shared" si="0"/>
        <v>-1.9801980198019875E-2</v>
      </c>
      <c r="I10" s="23">
        <f t="shared" si="1"/>
        <v>-4.0693069306934476E-3</v>
      </c>
      <c r="J10" s="23">
        <f t="shared" si="2"/>
        <v>1.0198019801980065E-2</v>
      </c>
      <c r="K10" s="25"/>
      <c r="L10" s="25"/>
    </row>
    <row r="11" spans="1:12" ht="17.399999999999999" x14ac:dyDescent="0.25">
      <c r="A11" s="13" t="s">
        <v>38</v>
      </c>
      <c r="B11" s="17">
        <v>5.5444184969431634E-3</v>
      </c>
      <c r="C11" s="17">
        <v>5.0741131870257793E-3</v>
      </c>
      <c r="D11" s="17">
        <v>4.9186988348508568E-3</v>
      </c>
      <c r="E11" s="17">
        <v>4.7794643719007452E-3</v>
      </c>
      <c r="F11" s="17">
        <v>4.6775792452316564E-3</v>
      </c>
      <c r="G11" s="17">
        <v>4.5233370216697611E-3</v>
      </c>
      <c r="H11" s="23">
        <f t="shared" si="0"/>
        <v>-8.4825001968498639E-2</v>
      </c>
      <c r="I11" s="23">
        <f t="shared" si="1"/>
        <v>-0.13796832354270602</v>
      </c>
      <c r="J11" s="23">
        <f t="shared" si="2"/>
        <v>-0.18416385340254549</v>
      </c>
      <c r="K11" s="25"/>
      <c r="L11" s="25"/>
    </row>
    <row r="12" spans="1:12" ht="17.399999999999999" x14ac:dyDescent="0.25">
      <c r="A12" s="13" t="s">
        <v>39</v>
      </c>
      <c r="B12" s="17">
        <v>1.3017735533834372E-2</v>
      </c>
      <c r="C12" s="17">
        <v>2.1922118798503157E-2</v>
      </c>
      <c r="D12" s="17">
        <v>3.338442405568888E-2</v>
      </c>
      <c r="E12" s="17">
        <v>4.5482817477379547E-2</v>
      </c>
      <c r="F12" s="17">
        <v>5.1972952943503146E-2</v>
      </c>
      <c r="G12" s="17">
        <v>6.1411668547921745E-2</v>
      </c>
      <c r="H12" s="23">
        <f t="shared" si="0"/>
        <v>0.68401937046004813</v>
      </c>
      <c r="I12" s="23">
        <f t="shared" si="1"/>
        <v>2.4939116222760287</v>
      </c>
      <c r="J12" s="23">
        <f t="shared" si="2"/>
        <v>3.7175384987893469</v>
      </c>
      <c r="K12" s="25"/>
      <c r="L12" s="25"/>
    </row>
    <row r="13" spans="1:12" ht="17.399999999999999" x14ac:dyDescent="0.25">
      <c r="A13" s="13" t="s">
        <v>40</v>
      </c>
      <c r="B13" s="17">
        <v>4.5318805304783646E-2</v>
      </c>
      <c r="C13" s="17">
        <v>5.1361312678754802E-2</v>
      </c>
      <c r="D13" s="17">
        <v>6.0309259015043755E-2</v>
      </c>
      <c r="E13" s="17">
        <v>6.3182974813648193E-2</v>
      </c>
      <c r="F13" s="17">
        <v>6.9897308299148697E-2</v>
      </c>
      <c r="G13" s="17">
        <v>7.6091180482837834E-2</v>
      </c>
      <c r="H13" s="23">
        <f t="shared" si="0"/>
        <v>0.13333333333333339</v>
      </c>
      <c r="I13" s="23">
        <f t="shared" si="1"/>
        <v>0.39418888888888887</v>
      </c>
      <c r="J13" s="23">
        <f t="shared" si="2"/>
        <v>0.67901999999999985</v>
      </c>
      <c r="K13" s="25"/>
      <c r="L13" s="25"/>
    </row>
    <row r="14" spans="1:12" ht="17.399999999999999" x14ac:dyDescent="0.25">
      <c r="A14" s="13" t="s">
        <v>41</v>
      </c>
      <c r="B14" s="17">
        <v>1.0075720693425693E-2</v>
      </c>
      <c r="C14" s="17">
        <v>9.1746620297043571E-3</v>
      </c>
      <c r="D14" s="17">
        <v>9.029445137387463E-3</v>
      </c>
      <c r="E14" s="17">
        <v>8.9544701409914572E-3</v>
      </c>
      <c r="F14" s="17">
        <v>8.5636615400075614E-3</v>
      </c>
      <c r="G14" s="17">
        <v>8.28729484728866E-3</v>
      </c>
      <c r="H14" s="23">
        <f t="shared" si="0"/>
        <v>-8.9428706009017103E-2</v>
      </c>
      <c r="I14" s="23">
        <f t="shared" si="1"/>
        <v>-0.11128241706480023</v>
      </c>
      <c r="J14" s="23">
        <f t="shared" si="2"/>
        <v>-0.1774985532602113</v>
      </c>
      <c r="K14" s="25"/>
      <c r="L14" s="25"/>
    </row>
    <row r="15" spans="1:12" x14ac:dyDescent="0.25">
      <c r="A15" s="13" t="s">
        <v>42</v>
      </c>
      <c r="B15" s="17">
        <v>206.99127319023563</v>
      </c>
      <c r="C15" s="17">
        <v>196.64170953072383</v>
      </c>
      <c r="D15" s="17">
        <v>192.68817621279024</v>
      </c>
      <c r="E15" s="17">
        <v>190.73181297932362</v>
      </c>
      <c r="F15" s="17">
        <v>189.69890453264912</v>
      </c>
      <c r="G15" s="17">
        <v>186.20220828763004</v>
      </c>
      <c r="H15" s="23">
        <f t="shared" si="0"/>
        <v>-5.0000000000000093E-2</v>
      </c>
      <c r="I15" s="23">
        <f t="shared" si="1"/>
        <v>-7.8551428571429341E-2</v>
      </c>
      <c r="J15" s="23">
        <f t="shared" si="2"/>
        <v>-0.10043449939794982</v>
      </c>
      <c r="K15" s="24">
        <v>95</v>
      </c>
      <c r="L15" s="24">
        <v>255</v>
      </c>
    </row>
    <row r="16" spans="1:12" ht="17.399999999999999" x14ac:dyDescent="0.25">
      <c r="A16" s="13" t="s">
        <v>43</v>
      </c>
      <c r="B16" s="17">
        <v>3.6225365840967371E-3</v>
      </c>
      <c r="C16" s="17">
        <v>3.5884463438303504E-3</v>
      </c>
      <c r="D16" s="17">
        <v>3.6058503085979266E-3</v>
      </c>
      <c r="E16" s="17">
        <v>3.6802854511079988E-3</v>
      </c>
      <c r="F16" s="17">
        <v>3.721190150981323E-3</v>
      </c>
      <c r="G16" s="17">
        <v>3.7634225760018627E-3</v>
      </c>
      <c r="H16" s="23">
        <f t="shared" si="0"/>
        <v>-9.4105993065869802E-3</v>
      </c>
      <c r="I16" s="23">
        <f t="shared" si="1"/>
        <v>1.5941555225359047E-2</v>
      </c>
      <c r="J16" s="23">
        <f t="shared" si="2"/>
        <v>3.8891530460624706E-2</v>
      </c>
      <c r="K16" s="25"/>
      <c r="L16" s="25"/>
    </row>
    <row r="17" spans="1:12" ht="17.399999999999999" x14ac:dyDescent="0.25">
      <c r="A17" s="13" t="s">
        <v>44</v>
      </c>
      <c r="B17" s="17">
        <v>0.14293457997477785</v>
      </c>
      <c r="C17" s="17">
        <v>0.14293457997477785</v>
      </c>
      <c r="D17" s="17">
        <v>0.14507859867439954</v>
      </c>
      <c r="E17" s="17">
        <v>0.14822315943384462</v>
      </c>
      <c r="F17" s="17">
        <v>0.15093891645336541</v>
      </c>
      <c r="G17" s="17">
        <v>0.15351173889291142</v>
      </c>
      <c r="H17" s="23">
        <f t="shared" si="0"/>
        <v>0</v>
      </c>
      <c r="I17" s="23">
        <f t="shared" si="1"/>
        <v>3.6999999999999943E-2</v>
      </c>
      <c r="J17" s="23">
        <f t="shared" si="2"/>
        <v>7.400000000000008E-2</v>
      </c>
      <c r="K17" s="25"/>
      <c r="L17" s="25"/>
    </row>
    <row r="18" spans="1:12" x14ac:dyDescent="0.25">
      <c r="A18" s="13" t="s">
        <v>45</v>
      </c>
      <c r="B18" s="17">
        <v>1.1996957749361157E-2</v>
      </c>
      <c r="C18" s="17">
        <v>9.8156927040227663E-3</v>
      </c>
      <c r="D18" s="17">
        <v>8.8559360840738763E-3</v>
      </c>
      <c r="E18" s="17">
        <v>7.9169014820556962E-3</v>
      </c>
      <c r="F18" s="17">
        <v>6.9102476636320248E-3</v>
      </c>
      <c r="G18" s="17">
        <v>5.8566966467335823E-3</v>
      </c>
      <c r="H18" s="23">
        <f t="shared" si="0"/>
        <v>-0.18181818181818171</v>
      </c>
      <c r="I18" s="23">
        <f t="shared" si="1"/>
        <v>-0.34009090909090894</v>
      </c>
      <c r="J18" s="23">
        <f t="shared" si="2"/>
        <v>-0.51181818181818184</v>
      </c>
      <c r="K18" s="27">
        <v>5.0000000000000001E-3</v>
      </c>
      <c r="L18" s="29">
        <v>7.0000000000000001E-3</v>
      </c>
    </row>
    <row r="19" spans="1:12" s="9" customFormat="1" x14ac:dyDescent="0.25">
      <c r="A19" s="13" t="s">
        <v>46</v>
      </c>
      <c r="B19" s="17">
        <v>2.1768777663239463E-2</v>
      </c>
      <c r="C19" s="17">
        <v>1.7810818088105012E-2</v>
      </c>
      <c r="D19" s="17">
        <v>1.6069315875045852E-2</v>
      </c>
      <c r="E19" s="17">
        <v>1.436541427795048E-2</v>
      </c>
      <c r="F19" s="17">
        <v>1.2538815934025926E-2</v>
      </c>
      <c r="G19" s="17">
        <v>1.0627121459235989E-2</v>
      </c>
      <c r="H19" s="23">
        <f t="shared" si="0"/>
        <v>-0.18181818181818196</v>
      </c>
      <c r="I19" s="23">
        <f t="shared" si="1"/>
        <v>-0.340090909090909</v>
      </c>
      <c r="J19" s="23">
        <f t="shared" si="2"/>
        <v>-0.51181818181818195</v>
      </c>
      <c r="K19" s="28"/>
      <c r="L19" s="30"/>
    </row>
    <row r="20" spans="1:12" ht="17.399999999999999" x14ac:dyDescent="0.25">
      <c r="A20" s="13" t="s">
        <v>47</v>
      </c>
      <c r="B20" s="17">
        <f>B11+B12+B13+B14+B17</f>
        <v>0.21689126000376471</v>
      </c>
      <c r="C20" s="17">
        <f t="shared" ref="C20:G20" si="3">C11+C12+C13+C14+C17</f>
        <v>0.23046678666876594</v>
      </c>
      <c r="D20" s="17">
        <f t="shared" si="3"/>
        <v>0.25272042571737052</v>
      </c>
      <c r="E20" s="17">
        <f t="shared" si="3"/>
        <v>0.27062288623776454</v>
      </c>
      <c r="F20" s="17">
        <f t="shared" si="3"/>
        <v>0.28605041848125645</v>
      </c>
      <c r="G20" s="17">
        <f t="shared" si="3"/>
        <v>0.30382521979262944</v>
      </c>
      <c r="H20" s="23">
        <f t="shared" si="0"/>
        <v>6.2591395636530434E-2</v>
      </c>
      <c r="I20" s="23">
        <f t="shared" si="1"/>
        <v>0.24773532245175381</v>
      </c>
      <c r="J20" s="23">
        <f t="shared" si="2"/>
        <v>0.40081817859952384</v>
      </c>
      <c r="K20" s="25"/>
      <c r="L20" s="25"/>
    </row>
    <row r="22" spans="1:12" x14ac:dyDescent="0.25">
      <c r="K22" s="10"/>
      <c r="L22" s="10"/>
    </row>
    <row r="23" spans="1:12" s="9" customFormat="1" x14ac:dyDescent="0.25">
      <c r="A23" s="8"/>
      <c r="B23" s="6"/>
      <c r="C23" s="6"/>
      <c r="D23" s="6"/>
      <c r="E23" s="6"/>
      <c r="F23" s="6"/>
      <c r="G23" s="6"/>
      <c r="H23" s="6"/>
      <c r="K23" s="6"/>
      <c r="L23" s="6"/>
    </row>
  </sheetData>
  <mergeCells count="2">
    <mergeCell ref="K18:K19"/>
    <mergeCell ref="L18:L19"/>
  </mergeCells>
  <hyperlinks>
    <hyperlink ref="A1" location="Contenido!A1" display="Contenido" xr:uid="{0CA0BC9A-ABD0-4698-A8D3-3807764230B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FE3D-B57C-4717-8BE5-AA86EDDC8A62}">
  <sheetPr>
    <tabColor rgb="FFD18316"/>
  </sheetPr>
  <dimension ref="A1:L36"/>
  <sheetViews>
    <sheetView zoomScale="70" zoomScaleNormal="70" workbookViewId="0"/>
  </sheetViews>
  <sheetFormatPr baseColWidth="10" defaultColWidth="10.77734375" defaultRowHeight="13.8" x14ac:dyDescent="0.25"/>
  <cols>
    <col min="1" max="1" width="19.44140625" style="8" bestFit="1" customWidth="1"/>
    <col min="2" max="2" width="10.33203125" style="6" bestFit="1" customWidth="1"/>
    <col min="3" max="3" width="11.33203125" style="6" bestFit="1" customWidth="1"/>
    <col min="4" max="7" width="12" style="6" bestFit="1" customWidth="1"/>
    <col min="8" max="16384" width="10.77734375" style="6"/>
  </cols>
  <sheetData>
    <row r="1" spans="1:12" x14ac:dyDescent="0.25">
      <c r="A1" s="1" t="s">
        <v>0</v>
      </c>
    </row>
    <row r="2" spans="1:12" x14ac:dyDescent="0.25">
      <c r="A2" s="1"/>
    </row>
    <row r="3" spans="1:12" ht="15.6" x14ac:dyDescent="0.3">
      <c r="A3" s="4" t="s">
        <v>19</v>
      </c>
    </row>
    <row r="4" spans="1:12" x14ac:dyDescent="0.25">
      <c r="A4" s="14" t="s">
        <v>20</v>
      </c>
      <c r="B4" s="15" t="s">
        <v>21</v>
      </c>
      <c r="C4" s="15" t="s">
        <v>22</v>
      </c>
      <c r="D4" s="15" t="s">
        <v>23</v>
      </c>
      <c r="E4" s="15" t="s">
        <v>24</v>
      </c>
      <c r="F4" s="15" t="s">
        <v>25</v>
      </c>
      <c r="G4" s="16" t="s">
        <v>26</v>
      </c>
      <c r="H4" s="20" t="s">
        <v>27</v>
      </c>
      <c r="I4" s="20" t="s">
        <v>28</v>
      </c>
      <c r="J4" s="20" t="s">
        <v>29</v>
      </c>
      <c r="K4" s="21" t="s">
        <v>30</v>
      </c>
      <c r="L4" s="22" t="s">
        <v>31</v>
      </c>
    </row>
    <row r="5" spans="1:12" x14ac:dyDescent="0.25">
      <c r="A5" s="13" t="s">
        <v>32</v>
      </c>
      <c r="B5" s="17">
        <v>2.7362922927660605</v>
      </c>
      <c r="C5" s="17">
        <v>2.3086073236085065</v>
      </c>
      <c r="D5" s="17">
        <v>2.1326919010983421</v>
      </c>
      <c r="E5" s="17">
        <v>1.9553503705358437</v>
      </c>
      <c r="F5" s="17">
        <v>1.818890506217014</v>
      </c>
      <c r="G5" s="17">
        <v>1.6615359815585429</v>
      </c>
      <c r="H5" s="23">
        <f>+(C5-B5)/B5</f>
        <v>-0.15630090772401226</v>
      </c>
      <c r="I5" s="23">
        <f>(E5-B5)/B5</f>
        <v>-0.28540149906309131</v>
      </c>
      <c r="J5" s="23">
        <f>(G5-B5)/B5</f>
        <v>-0.39277832783027322</v>
      </c>
      <c r="K5" s="24">
        <v>1</v>
      </c>
      <c r="L5" s="24">
        <v>3.5</v>
      </c>
    </row>
    <row r="6" spans="1:12" x14ac:dyDescent="0.25">
      <c r="A6" s="13" t="s">
        <v>33</v>
      </c>
      <c r="B6" s="17">
        <v>0.43896096795184297</v>
      </c>
      <c r="C6" s="17">
        <v>0.38420018217561447</v>
      </c>
      <c r="D6" s="17">
        <v>0.36300506183960773</v>
      </c>
      <c r="E6" s="17">
        <v>0.34224758523618987</v>
      </c>
      <c r="F6" s="17">
        <v>0.32645877913715532</v>
      </c>
      <c r="G6" s="17">
        <v>0.30478029952410446</v>
      </c>
      <c r="H6" s="23">
        <f t="shared" ref="H6:H20" si="0">+(C6-B6)/B6</f>
        <v>-0.12475092268849776</v>
      </c>
      <c r="I6" s="23">
        <f t="shared" ref="I6:I20" si="1">(E6-B6)/B6</f>
        <v>-0.22032342230087124</v>
      </c>
      <c r="J6" s="23">
        <f t="shared" ref="J6:J20" si="2">(G6-B6)/B6</f>
        <v>-0.30567790355897667</v>
      </c>
      <c r="K6" s="24">
        <v>0.1</v>
      </c>
      <c r="L6" s="24">
        <v>0.27300000000000002</v>
      </c>
    </row>
    <row r="7" spans="1:12" ht="17.399999999999999" x14ac:dyDescent="0.25">
      <c r="A7" s="13" t="s">
        <v>34</v>
      </c>
      <c r="B7" s="17">
        <v>0.49297078815026435</v>
      </c>
      <c r="C7" s="17">
        <v>0.45498574519017204</v>
      </c>
      <c r="D7" s="17">
        <v>0.45984380525280844</v>
      </c>
      <c r="E7" s="17">
        <v>0.46439114816476046</v>
      </c>
      <c r="F7" s="17">
        <v>0.48085938766754222</v>
      </c>
      <c r="G7" s="17">
        <v>0.47634836083879356</v>
      </c>
      <c r="H7" s="23">
        <f t="shared" si="0"/>
        <v>-7.7053334341818935E-2</v>
      </c>
      <c r="I7" s="23">
        <f t="shared" si="1"/>
        <v>-5.7974307347380634E-2</v>
      </c>
      <c r="J7" s="23">
        <f t="shared" si="2"/>
        <v>-3.3718889051908778E-2</v>
      </c>
      <c r="K7" s="25"/>
      <c r="L7" s="25"/>
    </row>
    <row r="8" spans="1:12" x14ac:dyDescent="0.25">
      <c r="A8" s="13" t="s">
        <v>35</v>
      </c>
      <c r="B8" s="17">
        <v>0.23755715020485788</v>
      </c>
      <c r="C8" s="17">
        <v>0.20668691279097787</v>
      </c>
      <c r="D8" s="17">
        <v>0.20015477117896804</v>
      </c>
      <c r="E8" s="17">
        <v>0.18972493852984684</v>
      </c>
      <c r="F8" s="17">
        <v>0.18150715309674101</v>
      </c>
      <c r="G8" s="17">
        <v>0.17185730038762051</v>
      </c>
      <c r="H8" s="23">
        <f t="shared" si="0"/>
        <v>-0.12994867713836017</v>
      </c>
      <c r="I8" s="23">
        <f t="shared" si="1"/>
        <v>-0.20135033457743887</v>
      </c>
      <c r="J8" s="23">
        <f t="shared" si="2"/>
        <v>-0.27656439623299478</v>
      </c>
      <c r="K8" s="24">
        <v>0.06</v>
      </c>
      <c r="L8" s="24">
        <v>0.20300000000000001</v>
      </c>
    </row>
    <row r="9" spans="1:12" ht="17.399999999999999" x14ac:dyDescent="0.25">
      <c r="A9" s="13" t="s">
        <v>36</v>
      </c>
      <c r="B9" s="17">
        <v>2.0338687203011545E-3</v>
      </c>
      <c r="C9" s="17">
        <v>1.7265377253406573E-3</v>
      </c>
      <c r="D9" s="17">
        <v>1.5964653112783135E-3</v>
      </c>
      <c r="E9" s="17">
        <v>1.4717173794042244E-3</v>
      </c>
      <c r="F9" s="17">
        <v>1.3364115419423049E-3</v>
      </c>
      <c r="G9" s="17">
        <v>1.1941545398407162E-3</v>
      </c>
      <c r="H9" s="23">
        <f t="shared" si="0"/>
        <v>-0.1511066038298631</v>
      </c>
      <c r="I9" s="23">
        <f t="shared" si="1"/>
        <v>-0.27639509634313691</v>
      </c>
      <c r="J9" s="23">
        <f t="shared" si="2"/>
        <v>-0.41286547753981978</v>
      </c>
      <c r="K9" s="25"/>
      <c r="L9" s="25"/>
    </row>
    <row r="10" spans="1:12" ht="17.399999999999999" x14ac:dyDescent="0.25">
      <c r="A10" s="13" t="s">
        <v>37</v>
      </c>
      <c r="B10" s="17">
        <v>6.4829796372141132E-2</v>
      </c>
      <c r="C10" s="17">
        <v>6.3546038028138366E-2</v>
      </c>
      <c r="D10" s="17">
        <v>6.3847721238979013E-2</v>
      </c>
      <c r="E10" s="17">
        <v>6.4565984032448565E-2</v>
      </c>
      <c r="F10" s="17">
        <v>6.5071142940813662E-2</v>
      </c>
      <c r="G10" s="17">
        <v>6.5490931919302581E-2</v>
      </c>
      <c r="H10" s="23">
        <f t="shared" si="0"/>
        <v>-1.9801980198019369E-2</v>
      </c>
      <c r="I10" s="23">
        <f t="shared" si="1"/>
        <v>-4.0693069306929706E-3</v>
      </c>
      <c r="J10" s="23">
        <f t="shared" si="2"/>
        <v>1.0198019801980337E-2</v>
      </c>
      <c r="K10" s="25"/>
      <c r="L10" s="25"/>
    </row>
    <row r="11" spans="1:12" ht="17.399999999999999" x14ac:dyDescent="0.25">
      <c r="A11" s="13" t="s">
        <v>38</v>
      </c>
      <c r="B11" s="17">
        <v>3.8235234098651124E-3</v>
      </c>
      <c r="C11" s="17">
        <v>3.3776825306178512E-3</v>
      </c>
      <c r="D11" s="17">
        <v>3.2088652845073569E-3</v>
      </c>
      <c r="E11" s="17">
        <v>3.0453588877495516E-3</v>
      </c>
      <c r="F11" s="17">
        <v>2.9215564358528621E-3</v>
      </c>
      <c r="G11" s="17">
        <v>2.7495528929198684E-3</v>
      </c>
      <c r="H11" s="23">
        <f t="shared" si="0"/>
        <v>-0.11660472068693042</v>
      </c>
      <c r="I11" s="23">
        <f t="shared" si="1"/>
        <v>-0.20352027140930026</v>
      </c>
      <c r="J11" s="23">
        <f t="shared" si="2"/>
        <v>-0.28088503765251743</v>
      </c>
      <c r="K11" s="25"/>
      <c r="L11" s="25"/>
    </row>
    <row r="12" spans="1:12" ht="17.399999999999999" x14ac:dyDescent="0.25">
      <c r="A12" s="13" t="s">
        <v>39</v>
      </c>
      <c r="B12" s="17">
        <v>9.9221641273077432E-3</v>
      </c>
      <c r="C12" s="17">
        <v>1.6709116587270065E-2</v>
      </c>
      <c r="D12" s="17">
        <v>2.5445726249027398E-2</v>
      </c>
      <c r="E12" s="17">
        <v>3.4667164562530821E-2</v>
      </c>
      <c r="F12" s="17">
        <v>3.9613968800177778E-2</v>
      </c>
      <c r="G12" s="17">
        <v>4.6808191261880905E-2</v>
      </c>
      <c r="H12" s="23">
        <f t="shared" si="0"/>
        <v>0.68401937046004879</v>
      </c>
      <c r="I12" s="23">
        <f t="shared" si="1"/>
        <v>2.4939116222760291</v>
      </c>
      <c r="J12" s="23">
        <f t="shared" si="2"/>
        <v>3.7175384987893492</v>
      </c>
      <c r="K12" s="25"/>
      <c r="L12" s="25"/>
    </row>
    <row r="13" spans="1:12" ht="17.399999999999999" x14ac:dyDescent="0.25">
      <c r="A13" s="13" t="s">
        <v>40</v>
      </c>
      <c r="B13" s="17">
        <v>3.838573367965576E-2</v>
      </c>
      <c r="C13" s="17">
        <v>4.3503831503609869E-2</v>
      </c>
      <c r="D13" s="17">
        <v>5.1082881364581889E-2</v>
      </c>
      <c r="E13" s="17">
        <v>5.3516963388024058E-2</v>
      </c>
      <c r="F13" s="17">
        <v>5.9204108388371458E-2</v>
      </c>
      <c r="G13" s="17">
        <v>6.4450414562815611E-2</v>
      </c>
      <c r="H13" s="23">
        <f t="shared" si="0"/>
        <v>0.13333333333333353</v>
      </c>
      <c r="I13" s="23">
        <f t="shared" si="1"/>
        <v>0.3941888888888887</v>
      </c>
      <c r="J13" s="23">
        <f t="shared" si="2"/>
        <v>0.67901999999999985</v>
      </c>
      <c r="K13" s="25"/>
      <c r="L13" s="25"/>
    </row>
    <row r="14" spans="1:12" ht="17.399999999999999" x14ac:dyDescent="0.25">
      <c r="A14" s="13" t="s">
        <v>41</v>
      </c>
      <c r="B14" s="17">
        <v>6.9051883166530801E-3</v>
      </c>
      <c r="C14" s="17">
        <v>6.2876662607462127E-3</v>
      </c>
      <c r="D14" s="17">
        <v>6.1881448449866852E-3</v>
      </c>
      <c r="E14" s="17">
        <v>6.136762270488305E-3</v>
      </c>
      <c r="F14" s="17">
        <v>5.868929619338859E-3</v>
      </c>
      <c r="G14" s="17">
        <v>5.6795273804578451E-3</v>
      </c>
      <c r="H14" s="23">
        <f t="shared" si="0"/>
        <v>-8.9428706009017006E-2</v>
      </c>
      <c r="I14" s="23">
        <f t="shared" si="1"/>
        <v>-0.11128241706480041</v>
      </c>
      <c r="J14" s="23">
        <f t="shared" si="2"/>
        <v>-0.17749855326021122</v>
      </c>
      <c r="K14" s="25"/>
      <c r="L14" s="25"/>
    </row>
    <row r="15" spans="1:12" x14ac:dyDescent="0.25">
      <c r="A15" s="13" t="s">
        <v>42</v>
      </c>
      <c r="B15" s="17">
        <v>177.50573313858476</v>
      </c>
      <c r="C15" s="17">
        <v>168.63044648165555</v>
      </c>
      <c r="D15" s="17">
        <v>165.24008697870858</v>
      </c>
      <c r="E15" s="17">
        <v>163.56240422093018</v>
      </c>
      <c r="F15" s="17">
        <v>162.68100961404977</v>
      </c>
      <c r="G15" s="17">
        <v>159.68233085596847</v>
      </c>
      <c r="H15" s="23">
        <f t="shared" si="0"/>
        <v>-4.9999999999999815E-2</v>
      </c>
      <c r="I15" s="23">
        <f t="shared" si="1"/>
        <v>-7.8551428571428467E-2</v>
      </c>
      <c r="J15" s="23">
        <f t="shared" si="2"/>
        <v>-0.10041029079720457</v>
      </c>
      <c r="K15" s="24">
        <v>95</v>
      </c>
      <c r="L15" s="24">
        <v>255</v>
      </c>
    </row>
    <row r="16" spans="1:12" ht="17.399999999999999" x14ac:dyDescent="0.25">
      <c r="A16" s="13" t="s">
        <v>43</v>
      </c>
      <c r="B16" s="17">
        <v>2.4851652769049691E-3</v>
      </c>
      <c r="C16" s="17">
        <v>2.4617783822733722E-3</v>
      </c>
      <c r="D16" s="17">
        <v>2.4737180074273966E-3</v>
      </c>
      <c r="E16" s="17">
        <v>2.5247826764108945E-3</v>
      </c>
      <c r="F16" s="17">
        <v>2.5528444881904285E-3</v>
      </c>
      <c r="G16" s="17">
        <v>2.5818171579714048E-3</v>
      </c>
      <c r="H16" s="23">
        <f t="shared" si="0"/>
        <v>-9.4105993065873687E-3</v>
      </c>
      <c r="I16" s="23">
        <f t="shared" si="1"/>
        <v>1.5941555225359075E-2</v>
      </c>
      <c r="J16" s="23">
        <f t="shared" si="2"/>
        <v>3.8891530460624386E-2</v>
      </c>
      <c r="K16" s="25"/>
      <c r="L16" s="25"/>
    </row>
    <row r="17" spans="1:12" ht="17.399999999999999" x14ac:dyDescent="0.25">
      <c r="A17" s="13" t="s">
        <v>44</v>
      </c>
      <c r="B17" s="17">
        <v>0.11641829091635969</v>
      </c>
      <c r="C17" s="17">
        <v>0.11641829091635969</v>
      </c>
      <c r="D17" s="17">
        <v>0.11816456528010508</v>
      </c>
      <c r="E17" s="17">
        <v>0.12072576768026497</v>
      </c>
      <c r="F17" s="17">
        <v>0.12293771520767582</v>
      </c>
      <c r="G17" s="17">
        <v>0.12503324444417033</v>
      </c>
      <c r="H17" s="23">
        <f t="shared" si="0"/>
        <v>0</v>
      </c>
      <c r="I17" s="23">
        <f t="shared" si="1"/>
        <v>3.6999999999999728E-2</v>
      </c>
      <c r="J17" s="23">
        <f t="shared" si="2"/>
        <v>7.4000000000000177E-2</v>
      </c>
      <c r="K17" s="25"/>
      <c r="L17" s="25"/>
    </row>
    <row r="18" spans="1:12" x14ac:dyDescent="0.25">
      <c r="A18" s="13" t="s">
        <v>45</v>
      </c>
      <c r="B18" s="17">
        <v>1.0889579463129047E-2</v>
      </c>
      <c r="C18" s="17">
        <v>8.909655924378309E-3</v>
      </c>
      <c r="D18" s="17">
        <v>8.0384895673279826E-3</v>
      </c>
      <c r="E18" s="17">
        <v>7.1861324838957911E-3</v>
      </c>
      <c r="F18" s="17">
        <v>6.272397770762328E-3</v>
      </c>
      <c r="G18" s="17">
        <v>5.3160947015457247E-3</v>
      </c>
      <c r="H18" s="23">
        <f t="shared" si="0"/>
        <v>-0.18181818181818205</v>
      </c>
      <c r="I18" s="23">
        <f t="shared" si="1"/>
        <v>-0.3400909090909095</v>
      </c>
      <c r="J18" s="23">
        <f t="shared" si="2"/>
        <v>-0.51181818181818195</v>
      </c>
      <c r="K18" s="27">
        <v>5.0000000000000001E-3</v>
      </c>
      <c r="L18" s="29">
        <v>7.0000000000000001E-3</v>
      </c>
    </row>
    <row r="19" spans="1:12" s="9" customFormat="1" x14ac:dyDescent="0.25">
      <c r="A19" s="13" t="s">
        <v>46</v>
      </c>
      <c r="B19" s="17">
        <v>2.5610234000588546E-2</v>
      </c>
      <c r="C19" s="17">
        <v>2.0953827818663361E-2</v>
      </c>
      <c r="D19" s="17">
        <v>1.8905009098616272E-2</v>
      </c>
      <c r="E19" s="17">
        <v>1.6900426237297476E-2</v>
      </c>
      <c r="F19" s="17">
        <v>1.4751494784339004E-2</v>
      </c>
      <c r="G19" s="17">
        <v>1.2502450598469135E-2</v>
      </c>
      <c r="H19" s="23">
        <f t="shared" si="0"/>
        <v>-0.18181818181818163</v>
      </c>
      <c r="I19" s="23">
        <f t="shared" si="1"/>
        <v>-0.34009090909090911</v>
      </c>
      <c r="J19" s="23">
        <f t="shared" si="2"/>
        <v>-0.51181818181818184</v>
      </c>
      <c r="K19" s="28"/>
      <c r="L19" s="30"/>
    </row>
    <row r="20" spans="1:12" ht="17.399999999999999" x14ac:dyDescent="0.25">
      <c r="A20" s="13" t="s">
        <v>47</v>
      </c>
      <c r="B20" s="17">
        <f>B11+B12+B13+B14+B17</f>
        <v>0.17545490044984138</v>
      </c>
      <c r="C20" s="17">
        <f t="shared" ref="C20:G20" si="3">C11+C12+C13+C14+C17</f>
        <v>0.1862965877986037</v>
      </c>
      <c r="D20" s="17">
        <f t="shared" si="3"/>
        <v>0.20409018302320842</v>
      </c>
      <c r="E20" s="17">
        <f t="shared" si="3"/>
        <v>0.21809201678905771</v>
      </c>
      <c r="F20" s="17">
        <f t="shared" si="3"/>
        <v>0.23054627845141679</v>
      </c>
      <c r="G20" s="17">
        <f t="shared" si="3"/>
        <v>0.24472093054224456</v>
      </c>
      <c r="H20" s="23">
        <f t="shared" si="0"/>
        <v>6.1791875410522994E-2</v>
      </c>
      <c r="I20" s="23">
        <f t="shared" si="1"/>
        <v>0.2430089796859525</v>
      </c>
      <c r="J20" s="23">
        <f t="shared" si="2"/>
        <v>0.39477968363844462</v>
      </c>
      <c r="K20" s="25"/>
      <c r="L20" s="25"/>
    </row>
    <row r="21" spans="1:12" ht="14.4" x14ac:dyDescent="0.3">
      <c r="A21"/>
      <c r="B21"/>
      <c r="C21"/>
      <c r="D21"/>
      <c r="E21"/>
      <c r="F21"/>
      <c r="G21"/>
      <c r="H21"/>
      <c r="I21"/>
      <c r="J21"/>
    </row>
    <row r="22" spans="1:12" ht="14.4" x14ac:dyDescent="0.3">
      <c r="A22"/>
      <c r="B22"/>
      <c r="C22"/>
      <c r="D22"/>
      <c r="E22"/>
      <c r="F22"/>
      <c r="G22"/>
      <c r="H22"/>
      <c r="I22"/>
      <c r="J22"/>
      <c r="K22" s="10"/>
      <c r="L22" s="10"/>
    </row>
    <row r="23" spans="1:12" s="9" customFormat="1" ht="14.4" x14ac:dyDescent="0.3">
      <c r="A23"/>
      <c r="B23"/>
      <c r="C23"/>
      <c r="D23"/>
      <c r="E23"/>
      <c r="F23"/>
      <c r="G23"/>
      <c r="H23"/>
      <c r="I23"/>
      <c r="J23"/>
      <c r="K23" s="6"/>
      <c r="L23" s="6"/>
    </row>
    <row r="24" spans="1:12" ht="14.4" x14ac:dyDescent="0.3">
      <c r="A24"/>
      <c r="B24"/>
      <c r="C24"/>
      <c r="D24"/>
      <c r="E24"/>
      <c r="F24"/>
      <c r="G24"/>
      <c r="H24"/>
      <c r="I24"/>
      <c r="J24"/>
    </row>
    <row r="25" spans="1:12" ht="14.4" x14ac:dyDescent="0.3">
      <c r="A25"/>
      <c r="B25"/>
      <c r="C25"/>
      <c r="D25"/>
      <c r="E25"/>
      <c r="F25"/>
      <c r="G25"/>
      <c r="H25"/>
      <c r="I25"/>
      <c r="J25"/>
    </row>
    <row r="26" spans="1:12" ht="14.4" x14ac:dyDescent="0.3">
      <c r="A26"/>
      <c r="B26"/>
      <c r="C26"/>
      <c r="D26"/>
      <c r="E26"/>
      <c r="F26"/>
      <c r="G26"/>
      <c r="H26"/>
      <c r="I26"/>
      <c r="J26"/>
    </row>
    <row r="27" spans="1:12" ht="14.4" x14ac:dyDescent="0.3">
      <c r="A27"/>
      <c r="B27"/>
      <c r="C27"/>
      <c r="D27"/>
      <c r="E27"/>
      <c r="F27"/>
      <c r="G27"/>
      <c r="H27"/>
      <c r="I27"/>
      <c r="J27"/>
    </row>
    <row r="28" spans="1:12" ht="14.4" x14ac:dyDescent="0.3">
      <c r="A28"/>
      <c r="B28"/>
      <c r="C28"/>
      <c r="D28"/>
      <c r="E28"/>
      <c r="F28"/>
      <c r="G28"/>
      <c r="H28"/>
      <c r="I28"/>
      <c r="J28"/>
    </row>
    <row r="29" spans="1:12" ht="14.4" x14ac:dyDescent="0.3">
      <c r="B29"/>
      <c r="C29"/>
      <c r="D29"/>
      <c r="E29"/>
      <c r="F29"/>
      <c r="G29"/>
      <c r="H29"/>
      <c r="I29"/>
      <c r="J29"/>
    </row>
    <row r="30" spans="1:12" ht="14.4" x14ac:dyDescent="0.3">
      <c r="J30"/>
    </row>
    <row r="31" spans="1:12" ht="14.4" x14ac:dyDescent="0.3">
      <c r="J31"/>
    </row>
    <row r="32" spans="1:12" ht="14.4" x14ac:dyDescent="0.3">
      <c r="J32"/>
    </row>
    <row r="33" spans="10:10" ht="14.4" x14ac:dyDescent="0.3">
      <c r="J33"/>
    </row>
    <row r="34" spans="10:10" ht="14.4" x14ac:dyDescent="0.3">
      <c r="J34"/>
    </row>
    <row r="35" spans="10:10" ht="14.4" x14ac:dyDescent="0.3">
      <c r="J35"/>
    </row>
    <row r="36" spans="10:10" ht="14.4" x14ac:dyDescent="0.3">
      <c r="J36"/>
    </row>
  </sheetData>
  <mergeCells count="2">
    <mergeCell ref="K18:K19"/>
    <mergeCell ref="L18:L19"/>
  </mergeCells>
  <hyperlinks>
    <hyperlink ref="A1" location="Contenido!A1" display="Contenido" xr:uid="{12FF4152-9C6C-4BE7-97B8-E6711CAADE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Contenido</vt:lpstr>
      <vt:lpstr>Argentina</vt:lpstr>
      <vt:lpstr>Bolivia</vt:lpstr>
      <vt:lpstr>Chile</vt:lpstr>
      <vt:lpstr>Colombia</vt:lpstr>
      <vt:lpstr>Costa Rica</vt:lpstr>
      <vt:lpstr>República Dominicana</vt:lpstr>
      <vt:lpstr>Ecuador</vt:lpstr>
      <vt:lpstr>El Salvador</vt:lpstr>
      <vt:lpstr>Guatemala</vt:lpstr>
      <vt:lpstr>Honduras</vt:lpstr>
      <vt:lpstr>Jamaica</vt:lpstr>
      <vt:lpstr>México</vt:lpstr>
      <vt:lpstr>Nicaragua</vt:lpstr>
      <vt:lpstr>Panamá</vt:lpstr>
      <vt:lpstr>Perú</vt:lpstr>
      <vt:lpstr>Uruguay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HCX</dc:creator>
  <cp:keywords/>
  <dc:description/>
  <cp:lastModifiedBy>Sebastian de los Santos</cp:lastModifiedBy>
  <cp:revision/>
  <dcterms:created xsi:type="dcterms:W3CDTF">2021-10-20T16:55:43Z</dcterms:created>
  <dcterms:modified xsi:type="dcterms:W3CDTF">2026-08-05T19:44:04Z</dcterms:modified>
  <cp:category/>
  <cp:contentStatus/>
</cp:coreProperties>
</file>