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faro90mx-my.sharepoint.com/personal/rfavela_hcx_mx/Documents/F90/Operacion/Proyectos/Proyectos en curso/US Grains 013 (Analisis Global)/Latinoamerica/6.  Informacion Latam/3. Emissions/Español/"/>
    </mc:Choice>
  </mc:AlternateContent>
  <xr:revisionPtr revIDLastSave="39" documentId="13_ncr:1_{91FA5143-3460-8A4E-8CC5-01C9DC92B2A6}" xr6:coauthVersionLast="47" xr6:coauthVersionMax="47" xr10:uidLastSave="{4BC19331-9C6E-BD4E-BCEF-06B5E2B891DE}"/>
  <bookViews>
    <workbookView xWindow="6740" yWindow="2120" windowWidth="18300" windowHeight="10080" tabRatio="853" firstSheet="2" activeTab="2" xr2:uid="{AD60D5F5-4EC3-4F16-A51A-8F435208B142}"/>
  </bookViews>
  <sheets>
    <sheet name="Contenido" sheetId="7" r:id="rId1"/>
    <sheet name="Argentina" sheetId="4" r:id="rId2"/>
    <sheet name="Bolivia" sheetId="5" r:id="rId3"/>
    <sheet name="Chile" sheetId="6" r:id="rId4"/>
    <sheet name="Colombia" sheetId="9" r:id="rId5"/>
    <sheet name="Costa Rica" sheetId="10" r:id="rId6"/>
    <sheet name="República Dominicana" sheetId="11" r:id="rId7"/>
    <sheet name="Ecuador" sheetId="12" r:id="rId8"/>
    <sheet name="El Salvador" sheetId="13" r:id="rId9"/>
    <sheet name="Guatemala" sheetId="14" r:id="rId10"/>
    <sheet name="Honduras" sheetId="15" r:id="rId11"/>
    <sheet name="Jamaica" sheetId="16" r:id="rId12"/>
    <sheet name="México" sheetId="17" r:id="rId13"/>
    <sheet name="Nicaragua" sheetId="18" r:id="rId14"/>
    <sheet name="Panamá" sheetId="19" r:id="rId15"/>
    <sheet name="Perú" sheetId="20" r:id="rId16"/>
    <sheet name="Uruguay" sheetId="21" r:id="rId17"/>
  </sheets>
  <calcPr calcId="191028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7" l="1"/>
  <c r="I20" i="17"/>
  <c r="H20" i="17"/>
  <c r="J19" i="17"/>
  <c r="I19" i="17"/>
  <c r="H19" i="17"/>
  <c r="J18" i="17"/>
  <c r="I18" i="17"/>
  <c r="H18" i="17"/>
  <c r="J17" i="17"/>
  <c r="I17" i="17"/>
  <c r="H17" i="17"/>
  <c r="J16" i="17"/>
  <c r="I16" i="17"/>
  <c r="H16" i="17"/>
  <c r="J15" i="17"/>
  <c r="I15" i="17"/>
  <c r="H15" i="17"/>
  <c r="J14" i="17"/>
  <c r="I14" i="17"/>
  <c r="H14" i="17"/>
  <c r="J13" i="17"/>
  <c r="I13" i="17"/>
  <c r="H13" i="17"/>
  <c r="J12" i="17"/>
  <c r="I12" i="17"/>
  <c r="H12" i="17"/>
  <c r="J11" i="17"/>
  <c r="I11" i="17"/>
  <c r="H11" i="17"/>
  <c r="J10" i="17"/>
  <c r="I10" i="17"/>
  <c r="H10" i="17"/>
  <c r="J9" i="17"/>
  <c r="I9" i="17"/>
  <c r="H9" i="17"/>
  <c r="J8" i="17"/>
  <c r="I8" i="17"/>
  <c r="H8" i="17"/>
  <c r="J7" i="17"/>
  <c r="I7" i="17"/>
  <c r="H7" i="17"/>
  <c r="J6" i="17"/>
  <c r="I6" i="17"/>
  <c r="H6" i="17"/>
  <c r="J5" i="17"/>
  <c r="I5" i="17"/>
  <c r="H5" i="17"/>
  <c r="B20" i="20" l="1"/>
  <c r="J5" i="20"/>
  <c r="I9" i="20"/>
  <c r="H10" i="20"/>
  <c r="I12" i="20"/>
  <c r="I13" i="20"/>
  <c r="H14" i="20"/>
  <c r="J18" i="20"/>
  <c r="J17" i="20"/>
  <c r="H16" i="20"/>
  <c r="I15" i="20"/>
  <c r="J9" i="20"/>
  <c r="I7" i="20"/>
  <c r="H6" i="20"/>
  <c r="J19" i="21"/>
  <c r="I19" i="21"/>
  <c r="H19" i="21"/>
  <c r="J18" i="21"/>
  <c r="I18" i="21"/>
  <c r="H18" i="21"/>
  <c r="J17" i="21"/>
  <c r="I17" i="21"/>
  <c r="H17" i="21"/>
  <c r="J16" i="21"/>
  <c r="I16" i="21"/>
  <c r="H16" i="21"/>
  <c r="J15" i="21"/>
  <c r="I15" i="21"/>
  <c r="H15" i="21"/>
  <c r="J14" i="21"/>
  <c r="I14" i="21"/>
  <c r="H14" i="21"/>
  <c r="J13" i="21"/>
  <c r="I13" i="21"/>
  <c r="H13" i="21"/>
  <c r="J12" i="21"/>
  <c r="I12" i="21"/>
  <c r="H12" i="21"/>
  <c r="J11" i="21"/>
  <c r="I11" i="21"/>
  <c r="H11" i="21"/>
  <c r="J10" i="21"/>
  <c r="I10" i="21"/>
  <c r="H10" i="21"/>
  <c r="J9" i="21"/>
  <c r="I9" i="21"/>
  <c r="H9" i="21"/>
  <c r="J8" i="21"/>
  <c r="I8" i="21"/>
  <c r="H8" i="21"/>
  <c r="J7" i="21"/>
  <c r="I7" i="21"/>
  <c r="H7" i="21"/>
  <c r="J6" i="21"/>
  <c r="I6" i="21"/>
  <c r="H6" i="21"/>
  <c r="J5" i="21"/>
  <c r="I5" i="21"/>
  <c r="H5" i="21"/>
  <c r="J19" i="20"/>
  <c r="I19" i="20"/>
  <c r="H19" i="20"/>
  <c r="J16" i="20"/>
  <c r="I16" i="20"/>
  <c r="H13" i="20"/>
  <c r="J12" i="20"/>
  <c r="J11" i="20"/>
  <c r="I11" i="20"/>
  <c r="H11" i="20"/>
  <c r="J8" i="20"/>
  <c r="I8" i="20"/>
  <c r="H8" i="20"/>
  <c r="J7" i="20"/>
  <c r="H7" i="20"/>
  <c r="J6" i="20"/>
  <c r="H20" i="19"/>
  <c r="J19" i="19"/>
  <c r="I19" i="19"/>
  <c r="H19" i="19"/>
  <c r="J18" i="19"/>
  <c r="I18" i="19"/>
  <c r="H18" i="19"/>
  <c r="J17" i="19"/>
  <c r="I17" i="19"/>
  <c r="H17" i="19"/>
  <c r="J16" i="19"/>
  <c r="I16" i="19"/>
  <c r="H16" i="19"/>
  <c r="J15" i="19"/>
  <c r="I15" i="19"/>
  <c r="H15" i="19"/>
  <c r="J14" i="19"/>
  <c r="I14" i="19"/>
  <c r="H14" i="19"/>
  <c r="J13" i="19"/>
  <c r="I13" i="19"/>
  <c r="H13" i="19"/>
  <c r="J12" i="19"/>
  <c r="I12" i="19"/>
  <c r="H12" i="19"/>
  <c r="J11" i="19"/>
  <c r="I11" i="19"/>
  <c r="H11" i="19"/>
  <c r="J10" i="19"/>
  <c r="I10" i="19"/>
  <c r="H10" i="19"/>
  <c r="J9" i="19"/>
  <c r="I9" i="19"/>
  <c r="H9" i="19"/>
  <c r="J8" i="19"/>
  <c r="I8" i="19"/>
  <c r="H8" i="19"/>
  <c r="J7" i="19"/>
  <c r="I7" i="19"/>
  <c r="H7" i="19"/>
  <c r="J6" i="19"/>
  <c r="I6" i="19"/>
  <c r="H6" i="19"/>
  <c r="J5" i="19"/>
  <c r="I5" i="19"/>
  <c r="H5" i="19"/>
  <c r="J19" i="18"/>
  <c r="I19" i="18"/>
  <c r="H19" i="18"/>
  <c r="J18" i="18"/>
  <c r="I18" i="18"/>
  <c r="H18" i="18"/>
  <c r="J17" i="18"/>
  <c r="I17" i="18"/>
  <c r="H17" i="18"/>
  <c r="J16" i="18"/>
  <c r="I16" i="18"/>
  <c r="H16" i="18"/>
  <c r="J15" i="18"/>
  <c r="I15" i="18"/>
  <c r="H15" i="18"/>
  <c r="J14" i="18"/>
  <c r="I14" i="18"/>
  <c r="H14" i="18"/>
  <c r="J13" i="18"/>
  <c r="I13" i="18"/>
  <c r="H13" i="18"/>
  <c r="J12" i="18"/>
  <c r="I12" i="18"/>
  <c r="H12" i="18"/>
  <c r="J11" i="18"/>
  <c r="I11" i="18"/>
  <c r="H11" i="18"/>
  <c r="J10" i="18"/>
  <c r="I10" i="18"/>
  <c r="H10" i="18"/>
  <c r="J9" i="18"/>
  <c r="I9" i="18"/>
  <c r="H9" i="18"/>
  <c r="J8" i="18"/>
  <c r="I8" i="18"/>
  <c r="H8" i="18"/>
  <c r="J7" i="18"/>
  <c r="I7" i="18"/>
  <c r="H7" i="18"/>
  <c r="J6" i="18"/>
  <c r="I6" i="18"/>
  <c r="H6" i="18"/>
  <c r="J5" i="18"/>
  <c r="I5" i="18"/>
  <c r="H5" i="18"/>
  <c r="J20" i="16"/>
  <c r="I20" i="16"/>
  <c r="H20" i="16"/>
  <c r="J19" i="16"/>
  <c r="I19" i="16"/>
  <c r="H19" i="16"/>
  <c r="J18" i="16"/>
  <c r="I18" i="16"/>
  <c r="H18" i="16"/>
  <c r="J17" i="16"/>
  <c r="I17" i="16"/>
  <c r="H17" i="16"/>
  <c r="J16" i="16"/>
  <c r="I16" i="16"/>
  <c r="H16" i="16"/>
  <c r="J15" i="16"/>
  <c r="I15" i="16"/>
  <c r="H15" i="16"/>
  <c r="J14" i="16"/>
  <c r="I14" i="16"/>
  <c r="H14" i="16"/>
  <c r="J13" i="16"/>
  <c r="I13" i="16"/>
  <c r="H13" i="16"/>
  <c r="J12" i="16"/>
  <c r="I12" i="16"/>
  <c r="H12" i="16"/>
  <c r="J11" i="16"/>
  <c r="I11" i="16"/>
  <c r="H11" i="16"/>
  <c r="J10" i="16"/>
  <c r="I10" i="16"/>
  <c r="H10" i="16"/>
  <c r="J9" i="16"/>
  <c r="I9" i="16"/>
  <c r="H9" i="16"/>
  <c r="J8" i="16"/>
  <c r="I8" i="16"/>
  <c r="H8" i="16"/>
  <c r="J7" i="16"/>
  <c r="I7" i="16"/>
  <c r="H7" i="16"/>
  <c r="J6" i="16"/>
  <c r="I6" i="16"/>
  <c r="H6" i="16"/>
  <c r="J5" i="16"/>
  <c r="I5" i="16"/>
  <c r="H5" i="16"/>
  <c r="J20" i="15"/>
  <c r="I20" i="15"/>
  <c r="J19" i="15"/>
  <c r="I19" i="15"/>
  <c r="H19" i="15"/>
  <c r="J18" i="15"/>
  <c r="I18" i="15"/>
  <c r="H18" i="15"/>
  <c r="J17" i="15"/>
  <c r="I17" i="15"/>
  <c r="H17" i="15"/>
  <c r="J16" i="15"/>
  <c r="I16" i="15"/>
  <c r="H16" i="15"/>
  <c r="J15" i="15"/>
  <c r="I15" i="15"/>
  <c r="H15" i="15"/>
  <c r="J14" i="15"/>
  <c r="I14" i="15"/>
  <c r="H14" i="15"/>
  <c r="J13" i="15"/>
  <c r="I13" i="15"/>
  <c r="H13" i="15"/>
  <c r="J12" i="15"/>
  <c r="I12" i="15"/>
  <c r="H12" i="15"/>
  <c r="J11" i="15"/>
  <c r="I11" i="15"/>
  <c r="H11" i="15"/>
  <c r="J10" i="15"/>
  <c r="I10" i="15"/>
  <c r="H10" i="15"/>
  <c r="J9" i="15"/>
  <c r="I9" i="15"/>
  <c r="H9" i="15"/>
  <c r="J8" i="15"/>
  <c r="I8" i="15"/>
  <c r="H8" i="15"/>
  <c r="J7" i="15"/>
  <c r="I7" i="15"/>
  <c r="H7" i="15"/>
  <c r="J6" i="15"/>
  <c r="I6" i="15"/>
  <c r="H6" i="15"/>
  <c r="J5" i="15"/>
  <c r="I5" i="15"/>
  <c r="H5" i="15"/>
  <c r="H20" i="14"/>
  <c r="J19" i="14"/>
  <c r="I19" i="14"/>
  <c r="H19" i="14"/>
  <c r="J18" i="14"/>
  <c r="I18" i="14"/>
  <c r="H18" i="14"/>
  <c r="J17" i="14"/>
  <c r="I17" i="14"/>
  <c r="H17" i="14"/>
  <c r="J16" i="14"/>
  <c r="I16" i="14"/>
  <c r="H16" i="14"/>
  <c r="J15" i="14"/>
  <c r="I15" i="14"/>
  <c r="H15" i="14"/>
  <c r="J14" i="14"/>
  <c r="I14" i="14"/>
  <c r="H14" i="14"/>
  <c r="J13" i="14"/>
  <c r="I13" i="14"/>
  <c r="H13" i="14"/>
  <c r="J12" i="14"/>
  <c r="I12" i="14"/>
  <c r="H12" i="14"/>
  <c r="J11" i="14"/>
  <c r="I11" i="14"/>
  <c r="H11" i="14"/>
  <c r="J10" i="14"/>
  <c r="I10" i="14"/>
  <c r="H10" i="14"/>
  <c r="J9" i="14"/>
  <c r="I9" i="14"/>
  <c r="H9" i="14"/>
  <c r="J8" i="14"/>
  <c r="I8" i="14"/>
  <c r="H8" i="14"/>
  <c r="J7" i="14"/>
  <c r="I7" i="14"/>
  <c r="H7" i="14"/>
  <c r="J6" i="14"/>
  <c r="I6" i="14"/>
  <c r="H6" i="14"/>
  <c r="J5" i="14"/>
  <c r="I5" i="14"/>
  <c r="H5" i="14"/>
  <c r="J20" i="13"/>
  <c r="H20" i="13"/>
  <c r="J19" i="13"/>
  <c r="I19" i="13"/>
  <c r="H19" i="13"/>
  <c r="J18" i="13"/>
  <c r="I18" i="13"/>
  <c r="H18" i="13"/>
  <c r="J17" i="13"/>
  <c r="I17" i="13"/>
  <c r="H17" i="13"/>
  <c r="J16" i="13"/>
  <c r="I16" i="13"/>
  <c r="H16" i="13"/>
  <c r="J15" i="13"/>
  <c r="I15" i="13"/>
  <c r="H15" i="13"/>
  <c r="J14" i="13"/>
  <c r="I14" i="13"/>
  <c r="H14" i="13"/>
  <c r="J13" i="13"/>
  <c r="I13" i="13"/>
  <c r="H13" i="13"/>
  <c r="J12" i="13"/>
  <c r="I12" i="13"/>
  <c r="H12" i="13"/>
  <c r="J11" i="13"/>
  <c r="I11" i="13"/>
  <c r="H11" i="13"/>
  <c r="J10" i="13"/>
  <c r="I10" i="13"/>
  <c r="H10" i="13"/>
  <c r="J9" i="13"/>
  <c r="I9" i="13"/>
  <c r="H9" i="13"/>
  <c r="J8" i="13"/>
  <c r="I8" i="13"/>
  <c r="H8" i="13"/>
  <c r="J7" i="13"/>
  <c r="I7" i="13"/>
  <c r="H7" i="13"/>
  <c r="J6" i="13"/>
  <c r="I6" i="13"/>
  <c r="H6" i="13"/>
  <c r="J5" i="13"/>
  <c r="I5" i="13"/>
  <c r="H5" i="13"/>
  <c r="J19" i="12"/>
  <c r="I19" i="12"/>
  <c r="H19" i="12"/>
  <c r="J18" i="12"/>
  <c r="I18" i="12"/>
  <c r="H18" i="12"/>
  <c r="J17" i="12"/>
  <c r="I17" i="12"/>
  <c r="H17" i="12"/>
  <c r="J16" i="12"/>
  <c r="I16" i="12"/>
  <c r="H16" i="12"/>
  <c r="J15" i="12"/>
  <c r="I15" i="12"/>
  <c r="H15" i="12"/>
  <c r="J14" i="12"/>
  <c r="I14" i="12"/>
  <c r="H14" i="12"/>
  <c r="J13" i="12"/>
  <c r="I13" i="12"/>
  <c r="H13" i="12"/>
  <c r="J12" i="12"/>
  <c r="I12" i="12"/>
  <c r="H12" i="12"/>
  <c r="J11" i="12"/>
  <c r="I11" i="12"/>
  <c r="H11" i="12"/>
  <c r="J10" i="12"/>
  <c r="I10" i="12"/>
  <c r="H10" i="12"/>
  <c r="J9" i="12"/>
  <c r="I9" i="12"/>
  <c r="H9" i="12"/>
  <c r="J8" i="12"/>
  <c r="I8" i="12"/>
  <c r="H8" i="12"/>
  <c r="J7" i="12"/>
  <c r="I7" i="12"/>
  <c r="H7" i="12"/>
  <c r="J6" i="12"/>
  <c r="I6" i="12"/>
  <c r="H6" i="12"/>
  <c r="J5" i="12"/>
  <c r="I5" i="12"/>
  <c r="H5" i="12"/>
  <c r="J19" i="11"/>
  <c r="I19" i="11"/>
  <c r="H19" i="11"/>
  <c r="J18" i="11"/>
  <c r="I18" i="11"/>
  <c r="H18" i="11"/>
  <c r="J17" i="11"/>
  <c r="I17" i="11"/>
  <c r="H17" i="11"/>
  <c r="J16" i="11"/>
  <c r="I16" i="11"/>
  <c r="H16" i="11"/>
  <c r="J15" i="11"/>
  <c r="I15" i="11"/>
  <c r="H15" i="11"/>
  <c r="J14" i="11"/>
  <c r="I14" i="11"/>
  <c r="H14" i="11"/>
  <c r="J13" i="11"/>
  <c r="I13" i="11"/>
  <c r="H13" i="11"/>
  <c r="J12" i="11"/>
  <c r="I12" i="11"/>
  <c r="H12" i="11"/>
  <c r="J11" i="11"/>
  <c r="I11" i="11"/>
  <c r="H11" i="11"/>
  <c r="J10" i="11"/>
  <c r="I10" i="11"/>
  <c r="H10" i="11"/>
  <c r="J9" i="11"/>
  <c r="I9" i="11"/>
  <c r="H9" i="11"/>
  <c r="J8" i="11"/>
  <c r="I8" i="11"/>
  <c r="H8" i="11"/>
  <c r="J7" i="11"/>
  <c r="I7" i="11"/>
  <c r="H7" i="11"/>
  <c r="J6" i="11"/>
  <c r="I6" i="11"/>
  <c r="H6" i="11"/>
  <c r="J5" i="11"/>
  <c r="I5" i="11"/>
  <c r="H5" i="11"/>
  <c r="J19" i="10"/>
  <c r="I19" i="10"/>
  <c r="H19" i="10"/>
  <c r="J18" i="10"/>
  <c r="I18" i="10"/>
  <c r="H18" i="10"/>
  <c r="J17" i="10"/>
  <c r="I17" i="10"/>
  <c r="H17" i="10"/>
  <c r="J16" i="10"/>
  <c r="I16" i="10"/>
  <c r="H16" i="10"/>
  <c r="J15" i="10"/>
  <c r="I15" i="10"/>
  <c r="H15" i="10"/>
  <c r="J14" i="10"/>
  <c r="I14" i="10"/>
  <c r="H14" i="10"/>
  <c r="J13" i="10"/>
  <c r="I13" i="10"/>
  <c r="H13" i="10"/>
  <c r="J12" i="10"/>
  <c r="I12" i="10"/>
  <c r="H12" i="10"/>
  <c r="J11" i="10"/>
  <c r="I11" i="10"/>
  <c r="H11" i="10"/>
  <c r="J10" i="10"/>
  <c r="I10" i="10"/>
  <c r="H10" i="10"/>
  <c r="J9" i="10"/>
  <c r="I9" i="10"/>
  <c r="H9" i="10"/>
  <c r="J8" i="10"/>
  <c r="I8" i="10"/>
  <c r="H8" i="10"/>
  <c r="J7" i="10"/>
  <c r="I7" i="10"/>
  <c r="H7" i="10"/>
  <c r="J6" i="10"/>
  <c r="I6" i="10"/>
  <c r="H6" i="10"/>
  <c r="J5" i="10"/>
  <c r="I5" i="10"/>
  <c r="H5" i="10"/>
  <c r="J19" i="9"/>
  <c r="I19" i="9"/>
  <c r="H19" i="9"/>
  <c r="J18" i="9"/>
  <c r="I18" i="9"/>
  <c r="H18" i="9"/>
  <c r="J17" i="9"/>
  <c r="I17" i="9"/>
  <c r="H17" i="9"/>
  <c r="J16" i="9"/>
  <c r="I16" i="9"/>
  <c r="H16" i="9"/>
  <c r="J15" i="9"/>
  <c r="I15" i="9"/>
  <c r="H15" i="9"/>
  <c r="J14" i="9"/>
  <c r="I14" i="9"/>
  <c r="H14" i="9"/>
  <c r="J13" i="9"/>
  <c r="I13" i="9"/>
  <c r="H13" i="9"/>
  <c r="J12" i="9"/>
  <c r="I12" i="9"/>
  <c r="H12" i="9"/>
  <c r="J11" i="9"/>
  <c r="I11" i="9"/>
  <c r="H11" i="9"/>
  <c r="J10" i="9"/>
  <c r="I10" i="9"/>
  <c r="H10" i="9"/>
  <c r="J9" i="9"/>
  <c r="I9" i="9"/>
  <c r="H9" i="9"/>
  <c r="J8" i="9"/>
  <c r="I8" i="9"/>
  <c r="H8" i="9"/>
  <c r="J7" i="9"/>
  <c r="I7" i="9"/>
  <c r="H7" i="9"/>
  <c r="J6" i="9"/>
  <c r="I6" i="9"/>
  <c r="H6" i="9"/>
  <c r="J5" i="9"/>
  <c r="I5" i="9"/>
  <c r="H5" i="9"/>
  <c r="J20" i="6"/>
  <c r="I20" i="6"/>
  <c r="H20" i="6"/>
  <c r="J19" i="6"/>
  <c r="I19" i="6"/>
  <c r="H19" i="6"/>
  <c r="J18" i="6"/>
  <c r="I18" i="6"/>
  <c r="H18" i="6"/>
  <c r="J17" i="6"/>
  <c r="I17" i="6"/>
  <c r="H17" i="6"/>
  <c r="J16" i="6"/>
  <c r="I16" i="6"/>
  <c r="H16" i="6"/>
  <c r="J15" i="6"/>
  <c r="I15" i="6"/>
  <c r="H15" i="6"/>
  <c r="J14" i="6"/>
  <c r="I14" i="6"/>
  <c r="H14" i="6"/>
  <c r="J13" i="6"/>
  <c r="I13" i="6"/>
  <c r="H13" i="6"/>
  <c r="J12" i="6"/>
  <c r="I12" i="6"/>
  <c r="H12" i="6"/>
  <c r="J11" i="6"/>
  <c r="I11" i="6"/>
  <c r="H11" i="6"/>
  <c r="J10" i="6"/>
  <c r="I10" i="6"/>
  <c r="H10" i="6"/>
  <c r="J9" i="6"/>
  <c r="I9" i="6"/>
  <c r="H9" i="6"/>
  <c r="J8" i="6"/>
  <c r="I8" i="6"/>
  <c r="H8" i="6"/>
  <c r="J7" i="6"/>
  <c r="I7" i="6"/>
  <c r="H7" i="6"/>
  <c r="J6" i="6"/>
  <c r="I6" i="6"/>
  <c r="H6" i="6"/>
  <c r="J5" i="6"/>
  <c r="I5" i="6"/>
  <c r="H5" i="6"/>
  <c r="J20" i="5"/>
  <c r="I20" i="5"/>
  <c r="H20" i="5"/>
  <c r="J19" i="5"/>
  <c r="I19" i="5"/>
  <c r="H19" i="5"/>
  <c r="J18" i="5"/>
  <c r="I18" i="5"/>
  <c r="H18" i="5"/>
  <c r="J17" i="5"/>
  <c r="I17" i="5"/>
  <c r="H17" i="5"/>
  <c r="J16" i="5"/>
  <c r="I16" i="5"/>
  <c r="H16" i="5"/>
  <c r="J15" i="5"/>
  <c r="I15" i="5"/>
  <c r="H15" i="5"/>
  <c r="J14" i="5"/>
  <c r="I14" i="5"/>
  <c r="H14" i="5"/>
  <c r="J13" i="5"/>
  <c r="I13" i="5"/>
  <c r="H13" i="5"/>
  <c r="J12" i="5"/>
  <c r="I12" i="5"/>
  <c r="H12" i="5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J5" i="5"/>
  <c r="I5" i="5"/>
  <c r="H5" i="5"/>
  <c r="I20" i="4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  <c r="B20" i="4"/>
  <c r="G20" i="21"/>
  <c r="J20" i="21" s="1"/>
  <c r="F20" i="21"/>
  <c r="E20" i="21"/>
  <c r="I20" i="21" s="1"/>
  <c r="D20" i="21"/>
  <c r="C20" i="21"/>
  <c r="B20" i="21"/>
  <c r="G20" i="20"/>
  <c r="F20" i="20"/>
  <c r="E20" i="20"/>
  <c r="D20" i="20"/>
  <c r="C20" i="20"/>
  <c r="G20" i="19"/>
  <c r="J20" i="19" s="1"/>
  <c r="F20" i="19"/>
  <c r="E20" i="19"/>
  <c r="I20" i="19" s="1"/>
  <c r="D20" i="19"/>
  <c r="C20" i="19"/>
  <c r="B20" i="19"/>
  <c r="G20" i="18"/>
  <c r="J20" i="18" s="1"/>
  <c r="F20" i="18"/>
  <c r="E20" i="18"/>
  <c r="I20" i="18" s="1"/>
  <c r="D20" i="18"/>
  <c r="C20" i="18"/>
  <c r="H20" i="18" s="1"/>
  <c r="B20" i="18"/>
  <c r="G20" i="15"/>
  <c r="F20" i="15"/>
  <c r="E20" i="15"/>
  <c r="D20" i="15"/>
  <c r="C20" i="15"/>
  <c r="H20" i="15" s="1"/>
  <c r="B20" i="15"/>
  <c r="G20" i="14"/>
  <c r="F20" i="14"/>
  <c r="E20" i="14"/>
  <c r="D20" i="14"/>
  <c r="C20" i="14"/>
  <c r="B20" i="14"/>
  <c r="J20" i="14" s="1"/>
  <c r="G20" i="13"/>
  <c r="F20" i="13"/>
  <c r="E20" i="13"/>
  <c r="I20" i="13" s="1"/>
  <c r="D20" i="13"/>
  <c r="C20" i="13"/>
  <c r="B20" i="13"/>
  <c r="G20" i="12"/>
  <c r="F20" i="12"/>
  <c r="E20" i="12"/>
  <c r="D20" i="12"/>
  <c r="C20" i="12"/>
  <c r="B20" i="12"/>
  <c r="G20" i="11"/>
  <c r="F20" i="11"/>
  <c r="E20" i="11"/>
  <c r="I20" i="11" s="1"/>
  <c r="D20" i="11"/>
  <c r="C20" i="11"/>
  <c r="B20" i="11"/>
  <c r="G20" i="10"/>
  <c r="J20" i="10" s="1"/>
  <c r="F20" i="10"/>
  <c r="E20" i="10"/>
  <c r="I20" i="10" s="1"/>
  <c r="D20" i="10"/>
  <c r="C20" i="10"/>
  <c r="H20" i="10" s="1"/>
  <c r="B20" i="10"/>
  <c r="G20" i="9"/>
  <c r="F20" i="9"/>
  <c r="E20" i="9"/>
  <c r="D20" i="9"/>
  <c r="C20" i="9"/>
  <c r="B20" i="9"/>
  <c r="C20" i="4"/>
  <c r="H20" i="4" s="1"/>
  <c r="D20" i="4"/>
  <c r="E20" i="4"/>
  <c r="F20" i="4"/>
  <c r="G20" i="4"/>
  <c r="H20" i="21" l="1"/>
  <c r="J20" i="11"/>
  <c r="H20" i="11"/>
  <c r="J20" i="12"/>
  <c r="H20" i="12"/>
  <c r="I20" i="12"/>
  <c r="J20" i="9"/>
  <c r="I20" i="9"/>
  <c r="H20" i="9"/>
  <c r="J20" i="4"/>
  <c r="I20" i="14"/>
  <c r="J10" i="20"/>
  <c r="J13" i="20"/>
  <c r="J20" i="20"/>
  <c r="H5" i="20"/>
  <c r="H12" i="20"/>
  <c r="H18" i="20"/>
  <c r="I10" i="20"/>
  <c r="I5" i="20"/>
  <c r="I18" i="20"/>
  <c r="J15" i="20"/>
  <c r="H20" i="20"/>
  <c r="I6" i="20"/>
  <c r="H9" i="20"/>
  <c r="I14" i="20"/>
  <c r="H17" i="20"/>
  <c r="J14" i="20"/>
  <c r="I17" i="20"/>
  <c r="I20" i="20"/>
  <c r="H15" i="20"/>
</calcChain>
</file>

<file path=xl/sharedStrings.xml><?xml version="1.0" encoding="utf-8"?>
<sst xmlns="http://schemas.openxmlformats.org/spreadsheetml/2006/main" count="500" uniqueCount="48">
  <si>
    <t>Contenido</t>
  </si>
  <si>
    <t>Emisiones de parámetros no regulados por mezcla de etanol</t>
  </si>
  <si>
    <t>Haga clic en el nombre de la hoja de trabajo o en la pestaña en la parte inferior para obtener datos</t>
  </si>
  <si>
    <t>Nombre de la hoja de cálculo</t>
  </si>
  <si>
    <t>Argentina</t>
  </si>
  <si>
    <t>Bolivia</t>
  </si>
  <si>
    <t>Chile</t>
  </si>
  <si>
    <t>Colombia</t>
  </si>
  <si>
    <t>Costa Rica</t>
  </si>
  <si>
    <t>República Dominicana</t>
  </si>
  <si>
    <t>Ecuador</t>
  </si>
  <si>
    <t>El Salvador</t>
  </si>
  <si>
    <t>Guatemala</t>
  </si>
  <si>
    <t>Honduras</t>
  </si>
  <si>
    <t>Jamaica</t>
  </si>
  <si>
    <t>México</t>
  </si>
  <si>
    <t>Nicaragua</t>
  </si>
  <si>
    <t>Panamá</t>
  </si>
  <si>
    <t>Perú</t>
  </si>
  <si>
    <t>Uruguay</t>
  </si>
  <si>
    <t xml:space="preserve">Emisiones </t>
  </si>
  <si>
    <t>E0 g/km</t>
  </si>
  <si>
    <t>E10 g/km</t>
  </si>
  <si>
    <t>E15  g/km</t>
  </si>
  <si>
    <t>E20  g/km</t>
  </si>
  <si>
    <t>E25  g/km</t>
  </si>
  <si>
    <t>E30  g/km</t>
  </si>
  <si>
    <t>E10 - E0</t>
  </si>
  <si>
    <t>E20 - E0</t>
  </si>
  <si>
    <t>E30 - E0</t>
  </si>
  <si>
    <t>Euro 6</t>
  </si>
  <si>
    <t>TIER USA</t>
  </si>
  <si>
    <t>CO</t>
  </si>
  <si>
    <t>VOC</t>
  </si>
  <si>
    <t>VOCevap</t>
  </si>
  <si>
    <t>NOx</t>
  </si>
  <si>
    <t>SOx</t>
  </si>
  <si>
    <t>NH3</t>
  </si>
  <si>
    <t>Butadieno</t>
  </si>
  <si>
    <t xml:space="preserve">Acetaldehído </t>
  </si>
  <si>
    <t>Formaldehídos</t>
  </si>
  <si>
    <t>Benceno</t>
  </si>
  <si>
    <t>CO2</t>
  </si>
  <si>
    <t>N2O</t>
  </si>
  <si>
    <t>CH4</t>
  </si>
  <si>
    <t>PM 2.5</t>
  </si>
  <si>
    <t>PM10</t>
  </si>
  <si>
    <t>THC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</si>
</sst>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003E6A"/>
      <name val="Arial"/>
      <family val="2"/>
    </font>
    <font>
      <b/>
      <i/>
      <sz val="12"/>
      <color rgb="FFD18316"/>
      <name val="Arial"/>
      <family val="2"/>
    </font>
    <font>
      <b/>
      <sz val="12"/>
      <color rgb="FFD18316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1"/>
      <name val="Arial"/>
      <family val="2"/>
    </font>
    <font>
      <u/>
      <sz val="11"/>
      <color indexed="12"/>
      <name val="Arial"/>
      <family val="2"/>
    </font>
    <font>
      <b/>
      <sz val="11"/>
      <color rgb="FFD18316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183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CE8E1"/>
        <bgColor indexed="64"/>
      </patternFill>
    </fill>
    <fill>
      <patternFill patternType="solid">
        <fgColor rgb="FF002F60"/>
        <bgColor indexed="64"/>
      </patternFill>
    </fill>
    <fill>
      <patternFill patternType="solid">
        <fgColor rgb="FFD18316"/>
        <bgColor theme="4"/>
      </patternFill>
    </fill>
    <fill>
      <patternFill patternType="solid">
        <fgColor rgb="FF92D050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1" fillId="0" borderId="0"/>
    <xf numFmtId="0" fontId="2" fillId="0" borderId="0"/>
    <xf numFmtId="0" fontId="3" fillId="0" borderId="0"/>
    <xf numFmtId="0" fontId="4" fillId="0" borderId="0" applyNumberFormat="0" applyFill="0" applyBorder="0" applyAlignment="0" applyProtection="0">
      <alignment vertical="top"/>
      <protection locked="0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4" fillId="0" borderId="0" xfId="4" quotePrefix="1" applyAlignment="1" applyProtection="1">
      <alignment horizontal="left"/>
    </xf>
    <xf numFmtId="0" fontId="3" fillId="0" borderId="0" xfId="3" quotePrefix="1" applyAlignment="1">
      <alignment horizontal="left"/>
    </xf>
    <xf numFmtId="0" fontId="5" fillId="3" borderId="0" xfId="3" applyFont="1" applyFill="1" applyAlignment="1">
      <alignment horizontal="left"/>
    </xf>
    <xf numFmtId="0" fontId="7" fillId="0" borderId="0" xfId="3" applyFont="1"/>
    <xf numFmtId="0" fontId="8" fillId="3" borderId="0" xfId="0" applyFont="1" applyFill="1"/>
    <xf numFmtId="0" fontId="8" fillId="0" borderId="0" xfId="0" applyFont="1"/>
    <xf numFmtId="0" fontId="8" fillId="2" borderId="0" xfId="0" applyFont="1" applyFill="1"/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4" fillId="4" borderId="0" xfId="4" applyFill="1" applyAlignment="1" applyProtection="1"/>
    <xf numFmtId="0" fontId="9" fillId="5" borderId="1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43" fontId="10" fillId="6" borderId="2" xfId="5" applyFont="1" applyFill="1" applyBorder="1" applyAlignment="1">
      <alignment horizontal="center"/>
    </xf>
    <xf numFmtId="43" fontId="10" fillId="6" borderId="3" xfId="5" applyFont="1" applyFill="1" applyBorder="1" applyAlignment="1">
      <alignment horizontal="center"/>
    </xf>
    <xf numFmtId="43" fontId="8" fillId="0" borderId="1" xfId="0" applyNumberFormat="1" applyFont="1" applyBorder="1"/>
    <xf numFmtId="0" fontId="11" fillId="0" borderId="0" xfId="4" quotePrefix="1" applyFont="1" applyAlignment="1" applyProtection="1">
      <alignment horizontal="left"/>
    </xf>
    <xf numFmtId="0" fontId="12" fillId="0" borderId="0" xfId="3" applyFont="1"/>
    <xf numFmtId="43" fontId="10" fillId="7" borderId="2" xfId="5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 vertical="center" wrapText="1" readingOrder="1"/>
    </xf>
    <xf numFmtId="0" fontId="13" fillId="9" borderId="4" xfId="0" applyFont="1" applyFill="1" applyBorder="1" applyAlignment="1">
      <alignment horizontal="center" vertical="center" wrapText="1" readingOrder="1"/>
    </xf>
    <xf numFmtId="9" fontId="8" fillId="0" borderId="1" xfId="6" applyFont="1" applyBorder="1"/>
    <xf numFmtId="0" fontId="13" fillId="0" borderId="4" xfId="0" applyFont="1" applyBorder="1" applyAlignment="1">
      <alignment horizontal="center" vertical="center" wrapText="1" readingOrder="1"/>
    </xf>
    <xf numFmtId="0" fontId="14" fillId="0" borderId="4" xfId="0" applyFont="1" applyBorder="1" applyAlignment="1">
      <alignment horizontal="center" vertical="center" wrapText="1" readingOrder="1"/>
    </xf>
    <xf numFmtId="0" fontId="13" fillId="0" borderId="4" xfId="0" applyFont="1" applyBorder="1" applyAlignment="1">
      <alignment horizontal="center" wrapText="1" readingOrder="1"/>
    </xf>
    <xf numFmtId="0" fontId="6" fillId="3" borderId="0" xfId="3" applyFont="1" applyFill="1" applyAlignment="1">
      <alignment horizontal="left" wrapText="1"/>
    </xf>
  </cellXfs>
  <cellStyles count="7">
    <cellStyle name="Hipervínculo" xfId="4" builtinId="8"/>
    <cellStyle name="Millares" xfId="5" builtinId="3"/>
    <cellStyle name="Normal" xfId="0" builtinId="0"/>
    <cellStyle name="Normal 2" xfId="3" xr:uid="{A843CF68-2EF9-4AAF-B24B-6A16AF0FAEA8}"/>
    <cellStyle name="Normal 3" xfId="1" xr:uid="{EBE96810-070D-426E-8173-6CF07D4E1F01}"/>
    <cellStyle name="Normal 4" xfId="2" xr:uid="{D63345C6-E31E-4FDE-A306-8FD62C6C7937}"/>
    <cellStyle name="Porcentaje" xfId="6" builtinId="5"/>
  </cellStyles>
  <dxfs count="0"/>
  <tableStyles count="0" defaultTableStyle="TableStyleMedium2" defaultPivotStyle="PivotStyleLight16"/>
  <colors>
    <mruColors>
      <color rgb="FFD18316"/>
      <color rgb="FF002F60"/>
      <color rgb="FF6BA53A"/>
      <color rgb="FF003E6A"/>
      <color rgb="FFECE8E1"/>
      <color rgb="FFFFA400"/>
      <color rgb="FF0066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25400</xdr:rowOff>
    </xdr:from>
    <xdr:to>
      <xdr:col>0</xdr:col>
      <xdr:colOff>1892300</xdr:colOff>
      <xdr:row>2</xdr:row>
      <xdr:rowOff>13993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C1665B-1BAC-4CA2-B660-DC1E2636E2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00"/>
          <a:ext cx="1892300" cy="3441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CB7A7-083E-4BCE-B277-CE0F909BA0C9}">
  <sheetPr>
    <tabColor rgb="FF002F60"/>
  </sheetPr>
  <dimension ref="A1:A24"/>
  <sheetViews>
    <sheetView showGridLines="0" zoomScale="70" zoomScaleNormal="70" workbookViewId="0">
      <selection activeCell="C4" sqref="C4"/>
    </sheetView>
  </sheetViews>
  <sheetFormatPr baseColWidth="10" defaultColWidth="10.83203125" defaultRowHeight="14" x14ac:dyDescent="0.15"/>
  <cols>
    <col min="1" max="1" width="80.83203125" style="6" bestFit="1" customWidth="1"/>
    <col min="2" max="16384" width="10.83203125" style="6"/>
  </cols>
  <sheetData>
    <row r="1" spans="1:1" x14ac:dyDescent="0.15">
      <c r="A1" s="5"/>
    </row>
    <row r="2" spans="1:1" x14ac:dyDescent="0.15">
      <c r="A2" s="5"/>
    </row>
    <row r="3" spans="1:1" x14ac:dyDescent="0.15">
      <c r="A3" s="5"/>
    </row>
    <row r="4" spans="1:1" ht="18" x14ac:dyDescent="0.2">
      <c r="A4" s="3" t="s">
        <v>0</v>
      </c>
    </row>
    <row r="5" spans="1:1" ht="15.5" customHeight="1" x14ac:dyDescent="0.15">
      <c r="A5" s="27" t="s">
        <v>1</v>
      </c>
    </row>
    <row r="6" spans="1:1" x14ac:dyDescent="0.15">
      <c r="A6" s="27"/>
    </row>
    <row r="7" spans="1:1" x14ac:dyDescent="0.15">
      <c r="A7" s="2" t="s">
        <v>2</v>
      </c>
    </row>
    <row r="8" spans="1:1" x14ac:dyDescent="0.15">
      <c r="A8" s="7" t="s">
        <v>3</v>
      </c>
    </row>
    <row r="9" spans="1:1" x14ac:dyDescent="0.15">
      <c r="A9" s="12" t="s">
        <v>4</v>
      </c>
    </row>
    <row r="10" spans="1:1" x14ac:dyDescent="0.15">
      <c r="A10" s="12" t="s">
        <v>5</v>
      </c>
    </row>
    <row r="11" spans="1:1" x14ac:dyDescent="0.15">
      <c r="A11" s="12" t="s">
        <v>6</v>
      </c>
    </row>
    <row r="12" spans="1:1" x14ac:dyDescent="0.15">
      <c r="A12" s="12" t="s">
        <v>7</v>
      </c>
    </row>
    <row r="13" spans="1:1" x14ac:dyDescent="0.15">
      <c r="A13" s="12" t="s">
        <v>8</v>
      </c>
    </row>
    <row r="14" spans="1:1" x14ac:dyDescent="0.15">
      <c r="A14" s="12" t="s">
        <v>9</v>
      </c>
    </row>
    <row r="15" spans="1:1" x14ac:dyDescent="0.15">
      <c r="A15" s="12" t="s">
        <v>10</v>
      </c>
    </row>
    <row r="16" spans="1:1" x14ac:dyDescent="0.15">
      <c r="A16" s="12" t="s">
        <v>11</v>
      </c>
    </row>
    <row r="17" spans="1:1" x14ac:dyDescent="0.15">
      <c r="A17" s="12" t="s">
        <v>12</v>
      </c>
    </row>
    <row r="18" spans="1:1" x14ac:dyDescent="0.15">
      <c r="A18" s="12" t="s">
        <v>13</v>
      </c>
    </row>
    <row r="19" spans="1:1" x14ac:dyDescent="0.15">
      <c r="A19" s="12" t="s">
        <v>14</v>
      </c>
    </row>
    <row r="20" spans="1:1" x14ac:dyDescent="0.15">
      <c r="A20" s="12" t="s">
        <v>15</v>
      </c>
    </row>
    <row r="21" spans="1:1" x14ac:dyDescent="0.15">
      <c r="A21" s="12" t="s">
        <v>16</v>
      </c>
    </row>
    <row r="22" spans="1:1" x14ac:dyDescent="0.15">
      <c r="A22" s="12" t="s">
        <v>17</v>
      </c>
    </row>
    <row r="23" spans="1:1" x14ac:dyDescent="0.15">
      <c r="A23" s="12" t="s">
        <v>18</v>
      </c>
    </row>
    <row r="24" spans="1:1" x14ac:dyDescent="0.15">
      <c r="A24" s="12" t="s">
        <v>19</v>
      </c>
    </row>
  </sheetData>
  <mergeCells count="1">
    <mergeCell ref="A5:A6"/>
  </mergeCells>
  <hyperlinks>
    <hyperlink ref="A9" location="Argentina!A1" display="Argentina" xr:uid="{52F41C02-FB17-40E8-9576-770EFBC6C47F}"/>
    <hyperlink ref="A10" location="Bolivia!A1" display="Bolivia" xr:uid="{6F0D300B-3674-44F3-860D-53DBFD4A4C07}"/>
    <hyperlink ref="A11" location="Chile!A1" display="Chile" xr:uid="{84C30D8F-C4FA-4E9E-9E02-0CF531E6F6A7}"/>
    <hyperlink ref="A12" location="Colombia!A1" display="Colombia" xr:uid="{652D061D-962D-4590-BBB9-43E1018ED83F}"/>
    <hyperlink ref="A13" location="'Costa Rica'!A1" display="Costa Rica" xr:uid="{8CFC9BDF-65CB-434D-AF2C-C796AD422BEA}"/>
    <hyperlink ref="A14" location="'República Dominicana'!A1" display="Repúblia Dominicana" xr:uid="{2F667091-2D0F-4D5F-8738-53AB376E7F72}"/>
    <hyperlink ref="A15" location="Ecuador!A1" display="Ecuador" xr:uid="{4A147E18-6BA9-4E62-A7AB-14236C01CD13}"/>
    <hyperlink ref="A16" location="'El Salvador'!A1" display="El Salvador" xr:uid="{20FF55FB-EEC9-491C-A402-1A903FE5ACB3}"/>
    <hyperlink ref="A17" location="Guatemala!A1" display="Guatemala" xr:uid="{73C7350E-30BA-4270-AC39-9363925DD273}"/>
    <hyperlink ref="A18" location="Honduras!A1" display="Honduras" xr:uid="{00517572-E561-45C5-AD72-5F8CDFFCF0AA}"/>
    <hyperlink ref="A19" location="Jamaica!A1" display="Jamaica" xr:uid="{87D28923-BBBB-4785-AE0F-12C8F9384DEB}"/>
    <hyperlink ref="A20" location="México!A1" display="México" xr:uid="{16357491-AF29-43B6-A48D-AD6776937DFF}"/>
    <hyperlink ref="A21" location="Nicaragua!A1" display="Nicaragua" xr:uid="{222D3F23-8CF1-4BD5-8567-C218CEE72298}"/>
    <hyperlink ref="A22" location="Panamá!A1" display="Panamá" xr:uid="{93CC6527-9A28-497E-ABAD-3BF3F85D6CF3}"/>
    <hyperlink ref="A23" location="Perú!A1" display="Perú" xr:uid="{1409AC3F-7DF8-44EE-B418-D6AD8A920690}"/>
    <hyperlink ref="A24" location="Uruguay!A1" display="Uruguay" xr:uid="{EFB414EE-D268-4479-8B13-02D87491DCDD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CE78F-F4E6-4B1E-8BAD-75B0AA18B25B}">
  <sheetPr>
    <tabColor rgb="FFD18316"/>
  </sheetPr>
  <dimension ref="A1:M22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8" width="14.83203125" style="6" bestFit="1" customWidth="1"/>
    <col min="9" max="16384" width="10.83203125" style="6"/>
  </cols>
  <sheetData>
    <row r="1" spans="1:13" x14ac:dyDescent="0.15">
      <c r="A1" s="18" t="s">
        <v>0</v>
      </c>
    </row>
    <row r="2" spans="1:13" x14ac:dyDescent="0.15">
      <c r="A2" s="18"/>
    </row>
    <row r="3" spans="1:13" x14ac:dyDescent="0.15">
      <c r="A3" s="19" t="s">
        <v>4</v>
      </c>
    </row>
    <row r="4" spans="1:13" ht="15" x14ac:dyDescent="0.2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  <c r="M4"/>
    </row>
    <row r="5" spans="1:13" x14ac:dyDescent="0.15">
      <c r="A5" s="13" t="s">
        <v>32</v>
      </c>
      <c r="B5" s="17">
        <v>7.6885782181736815</v>
      </c>
      <c r="C5" s="17">
        <v>6.3261061576394706</v>
      </c>
      <c r="D5" s="17">
        <v>5.7502679756805852</v>
      </c>
      <c r="E5" s="17">
        <v>5.162687834194327</v>
      </c>
      <c r="F5" s="17">
        <v>4.7084292483805354</v>
      </c>
      <c r="G5" s="17">
        <v>4.2254193387102559</v>
      </c>
      <c r="H5" s="23">
        <f>+(C5-B5)/B5</f>
        <v>-0.17720728356690216</v>
      </c>
      <c r="I5" s="23">
        <f>(E5-B5)/B5</f>
        <v>-0.32852502924517896</v>
      </c>
      <c r="J5" s="23">
        <f>(G5-B5)/B5</f>
        <v>-0.45042903657759137</v>
      </c>
      <c r="K5" s="24">
        <v>1</v>
      </c>
      <c r="L5" s="24">
        <v>3.5</v>
      </c>
    </row>
    <row r="6" spans="1:13" x14ac:dyDescent="0.15">
      <c r="A6" s="13" t="s">
        <v>33</v>
      </c>
      <c r="B6" s="17">
        <v>1.1613469668283063</v>
      </c>
      <c r="C6" s="17">
        <v>0.99520329773878213</v>
      </c>
      <c r="D6" s="17">
        <v>0.92834067501302675</v>
      </c>
      <c r="E6" s="17">
        <v>0.8616126658067832</v>
      </c>
      <c r="F6" s="17">
        <v>0.81047092104173368</v>
      </c>
      <c r="G6" s="17">
        <v>0.74163042268358814</v>
      </c>
      <c r="H6" s="23">
        <f t="shared" ref="H6:H20" si="0">+(C6-B6)/B6</f>
        <v>-0.14306118139979337</v>
      </c>
      <c r="I6" s="23">
        <f t="shared" ref="I6:I20" si="1">(E6-B6)/B6</f>
        <v>-0.25809194804211844</v>
      </c>
      <c r="J6" s="23">
        <f t="shared" ref="J6:J20" si="2">(G6-B6)/B6</f>
        <v>-0.36140495143409551</v>
      </c>
      <c r="K6" s="24">
        <v>95</v>
      </c>
      <c r="L6" s="24">
        <v>255</v>
      </c>
    </row>
    <row r="7" spans="1:13" x14ac:dyDescent="0.15">
      <c r="A7" s="13" t="s">
        <v>34</v>
      </c>
      <c r="B7" s="17">
        <v>0.49297078815026457</v>
      </c>
      <c r="C7" s="17">
        <v>0.49297078815026457</v>
      </c>
      <c r="D7" s="17">
        <v>0.50036534997251836</v>
      </c>
      <c r="E7" s="17">
        <v>0.51121070731182428</v>
      </c>
      <c r="F7" s="17">
        <v>0.52057715228667933</v>
      </c>
      <c r="G7" s="17">
        <v>0.52945062647338414</v>
      </c>
      <c r="H7" s="23">
        <f t="shared" si="0"/>
        <v>0</v>
      </c>
      <c r="I7" s="23">
        <f t="shared" si="1"/>
        <v>3.6999999999999825E-2</v>
      </c>
      <c r="J7" s="23">
        <f t="shared" si="2"/>
        <v>7.3999999999999996E-2</v>
      </c>
      <c r="K7" s="24">
        <v>0.1</v>
      </c>
      <c r="L7" s="24">
        <v>0.27300000000000002</v>
      </c>
    </row>
    <row r="8" spans="1:13" x14ac:dyDescent="0.15">
      <c r="A8" s="13" t="s">
        <v>35</v>
      </c>
      <c r="B8" s="17">
        <v>0.50315762842031519</v>
      </c>
      <c r="C8" s="17">
        <v>0.35221033989422068</v>
      </c>
      <c r="D8" s="17">
        <v>0.33195824535030288</v>
      </c>
      <c r="E8" s="17">
        <v>0.31306467640312008</v>
      </c>
      <c r="F8" s="17">
        <v>0.29223395058651908</v>
      </c>
      <c r="G8" s="17">
        <v>0.27019564646170929</v>
      </c>
      <c r="H8" s="23">
        <f t="shared" si="0"/>
        <v>-0.29999999999999993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3" ht="18" x14ac:dyDescent="0.15">
      <c r="A9" s="13" t="s">
        <v>36</v>
      </c>
      <c r="B9" s="17">
        <v>2.1647852468796424E-3</v>
      </c>
      <c r="C9" s="17">
        <v>1.8376719002026673E-3</v>
      </c>
      <c r="D9" s="17">
        <v>1.6992269552671422E-3</v>
      </c>
      <c r="E9" s="17">
        <v>1.5664492200061424E-3</v>
      </c>
      <c r="F9" s="17">
        <v>1.4224339854776878E-3</v>
      </c>
      <c r="G9" s="17">
        <v>1.271020152155522E-3</v>
      </c>
      <c r="H9" s="23">
        <f t="shared" si="0"/>
        <v>-0.15110660382986335</v>
      </c>
      <c r="I9" s="23">
        <f t="shared" si="1"/>
        <v>-0.27639509634313686</v>
      </c>
      <c r="J9" s="23">
        <f t="shared" si="2"/>
        <v>-0.41286547753981989</v>
      </c>
      <c r="K9" s="25"/>
      <c r="L9" s="25"/>
    </row>
    <row r="10" spans="1:13" ht="18" x14ac:dyDescent="0.15">
      <c r="A10" s="13" t="s">
        <v>37</v>
      </c>
      <c r="B10" s="17">
        <v>7.9755218059768776E-2</v>
      </c>
      <c r="C10" s="17">
        <v>7.8175906811060486E-2</v>
      </c>
      <c r="D10" s="17">
        <v>7.8547044954506928E-2</v>
      </c>
      <c r="E10" s="17">
        <v>7.9430669598159198E-2</v>
      </c>
      <c r="F10" s="17">
        <v>8.0052128574525927E-2</v>
      </c>
      <c r="G10" s="17">
        <v>8.0568563352853548E-2</v>
      </c>
      <c r="H10" s="23">
        <f t="shared" si="0"/>
        <v>-1.9801980198019768E-2</v>
      </c>
      <c r="I10" s="23">
        <f t="shared" si="1"/>
        <v>-4.069306930693367E-3</v>
      </c>
      <c r="J10" s="23">
        <f t="shared" si="2"/>
        <v>1.0198019801980212E-2</v>
      </c>
      <c r="K10" s="25"/>
      <c r="L10" s="25"/>
    </row>
    <row r="11" spans="1:13" ht="18" x14ac:dyDescent="0.15">
      <c r="A11" s="13" t="s">
        <v>38</v>
      </c>
      <c r="B11" s="17">
        <v>8.4553537292664776E-3</v>
      </c>
      <c r="C11" s="17">
        <v>7.4412681558630516E-3</v>
      </c>
      <c r="D11" s="17">
        <v>7.053664179435884E-3</v>
      </c>
      <c r="E11" s="17">
        <v>6.6764499918484455E-3</v>
      </c>
      <c r="F11" s="17">
        <v>6.3902685299386565E-3</v>
      </c>
      <c r="G11" s="17">
        <v>5.9946928968706448E-3</v>
      </c>
      <c r="H11" s="23">
        <f t="shared" si="0"/>
        <v>-0.11993413946638047</v>
      </c>
      <c r="I11" s="23">
        <f t="shared" si="1"/>
        <v>-0.21038785536088461</v>
      </c>
      <c r="J11" s="23">
        <f t="shared" si="2"/>
        <v>-0.29101808288383707</v>
      </c>
      <c r="K11" s="25"/>
      <c r="L11" s="25"/>
    </row>
    <row r="12" spans="1:13" ht="18" x14ac:dyDescent="0.15">
      <c r="A12" s="13" t="s">
        <v>39</v>
      </c>
      <c r="B12" s="17">
        <v>2.3970565589818745E-2</v>
      </c>
      <c r="C12" s="17">
        <v>4.0366896774137871E-2</v>
      </c>
      <c r="D12" s="17">
        <v>6.147332801663561E-2</v>
      </c>
      <c r="E12" s="17">
        <v>8.3751037706797551E-2</v>
      </c>
      <c r="F12" s="17">
        <v>9.570182726410402E-2</v>
      </c>
      <c r="G12" s="17">
        <v>0.11308206600772513</v>
      </c>
      <c r="H12" s="23">
        <f t="shared" si="0"/>
        <v>0.68401937046004879</v>
      </c>
      <c r="I12" s="23">
        <f t="shared" si="1"/>
        <v>2.4939116222760283</v>
      </c>
      <c r="J12" s="23">
        <f t="shared" si="2"/>
        <v>3.7175384987893483</v>
      </c>
      <c r="K12" s="25"/>
      <c r="L12" s="25"/>
    </row>
    <row r="13" spans="1:13" ht="18" x14ac:dyDescent="0.15">
      <c r="A13" s="13" t="s">
        <v>40</v>
      </c>
      <c r="B13" s="17">
        <v>9.5115907571064168E-2</v>
      </c>
      <c r="C13" s="17">
        <v>0.10779802858053937</v>
      </c>
      <c r="D13" s="17">
        <v>0.12657813610873725</v>
      </c>
      <c r="E13" s="17">
        <v>0.13260954149216017</v>
      </c>
      <c r="F13" s="17">
        <v>0.1467017029892056</v>
      </c>
      <c r="G13" s="17">
        <v>0.15970151112996817</v>
      </c>
      <c r="H13" s="23">
        <f t="shared" si="0"/>
        <v>0.13333333333333314</v>
      </c>
      <c r="I13" s="23">
        <f t="shared" si="1"/>
        <v>0.39418888888888853</v>
      </c>
      <c r="J13" s="23">
        <f t="shared" si="2"/>
        <v>0.67902000000000007</v>
      </c>
      <c r="K13" s="25"/>
      <c r="L13" s="25"/>
    </row>
    <row r="14" spans="1:13" ht="18" x14ac:dyDescent="0.15">
      <c r="A14" s="13" t="s">
        <v>41</v>
      </c>
      <c r="B14" s="17">
        <v>1.4275392398221932E-2</v>
      </c>
      <c r="C14" s="17">
        <v>1.2998762528277986E-2</v>
      </c>
      <c r="D14" s="17">
        <v>1.2793017630840856E-2</v>
      </c>
      <c r="E14" s="17">
        <v>1.2686792227599313E-2</v>
      </c>
      <c r="F14" s="17">
        <v>1.213309028394724E-2</v>
      </c>
      <c r="G14" s="17">
        <v>1.1741530900315718E-2</v>
      </c>
      <c r="H14" s="23">
        <f t="shared" si="0"/>
        <v>-8.9428706009017075E-2</v>
      </c>
      <c r="I14" s="23">
        <f t="shared" si="1"/>
        <v>-0.11128241706480074</v>
      </c>
      <c r="J14" s="23">
        <f t="shared" si="2"/>
        <v>-0.17749855326021155</v>
      </c>
      <c r="K14" s="25"/>
      <c r="L14" s="25"/>
    </row>
    <row r="15" spans="1:13" ht="18" x14ac:dyDescent="0.15">
      <c r="A15" s="13" t="s">
        <v>42</v>
      </c>
      <c r="B15" s="17">
        <v>182.38808205254441</v>
      </c>
      <c r="C15" s="17">
        <v>173.26867794991713</v>
      </c>
      <c r="D15" s="17">
        <v>169.78506558271354</v>
      </c>
      <c r="E15" s="17">
        <v>168.06123765291409</v>
      </c>
      <c r="F15" s="17">
        <v>167.37060158985057</v>
      </c>
      <c r="G15" s="17">
        <v>164.2854801678389</v>
      </c>
      <c r="H15" s="23">
        <f t="shared" si="0"/>
        <v>-5.000000000000028E-2</v>
      </c>
      <c r="I15" s="23">
        <f t="shared" si="1"/>
        <v>-7.8551428571428689E-2</v>
      </c>
      <c r="J15" s="23">
        <f t="shared" si="2"/>
        <v>-9.9253206026314295E-2</v>
      </c>
      <c r="K15" s="25"/>
      <c r="L15" s="25"/>
    </row>
    <row r="16" spans="1:13" ht="18" x14ac:dyDescent="0.15">
      <c r="A16" s="13" t="s">
        <v>43</v>
      </c>
      <c r="B16" s="17">
        <v>3.3771008427014898E-3</v>
      </c>
      <c r="C16" s="17">
        <v>3.3453202998528862E-3</v>
      </c>
      <c r="D16" s="17">
        <v>3.3615451033071723E-3</v>
      </c>
      <c r="E16" s="17">
        <v>3.4309370822870212E-3</v>
      </c>
      <c r="F16" s="17">
        <v>3.4690703883850445E-3</v>
      </c>
      <c r="G16" s="17">
        <v>3.5084414629940135E-3</v>
      </c>
      <c r="H16" s="23">
        <f t="shared" si="0"/>
        <v>-9.4105993065877833E-3</v>
      </c>
      <c r="I16" s="23">
        <f t="shared" si="1"/>
        <v>1.5941555225358742E-2</v>
      </c>
      <c r="J16" s="23">
        <f t="shared" si="2"/>
        <v>3.8891530460623921E-2</v>
      </c>
      <c r="K16" s="25"/>
      <c r="L16" s="25"/>
    </row>
    <row r="17" spans="1:12" ht="18" x14ac:dyDescent="0.15">
      <c r="A17" s="13" t="s">
        <v>44</v>
      </c>
      <c r="B17" s="17">
        <v>0.25504422830526147</v>
      </c>
      <c r="C17" s="17">
        <v>0.25504422830526147</v>
      </c>
      <c r="D17" s="17">
        <v>0.25886989172984032</v>
      </c>
      <c r="E17" s="17">
        <v>0.26448086475255611</v>
      </c>
      <c r="F17" s="17">
        <v>0.26932670509035611</v>
      </c>
      <c r="G17" s="17">
        <v>0.27391750119985081</v>
      </c>
      <c r="H17" s="23">
        <f t="shared" si="0"/>
        <v>0</v>
      </c>
      <c r="I17" s="23">
        <f t="shared" si="1"/>
        <v>3.699999999999988E-2</v>
      </c>
      <c r="J17" s="23">
        <f t="shared" si="2"/>
        <v>7.3999999999999982E-2</v>
      </c>
      <c r="K17" s="25"/>
      <c r="L17" s="25"/>
    </row>
    <row r="18" spans="1:12" ht="18" x14ac:dyDescent="0.15">
      <c r="A18" s="13" t="s">
        <v>45</v>
      </c>
      <c r="B18" s="17">
        <v>1.2796070334657629E-2</v>
      </c>
      <c r="C18" s="17">
        <v>9.9279856044757458E-3</v>
      </c>
      <c r="D18" s="17">
        <v>8.6213523879755758E-3</v>
      </c>
      <c r="E18" s="17">
        <v>7.3211172066427353E-3</v>
      </c>
      <c r="F18" s="17">
        <v>5.9409065857182874E-3</v>
      </c>
      <c r="G18" s="17">
        <v>4.5020105387762709E-3</v>
      </c>
      <c r="H18" s="23">
        <f t="shared" si="0"/>
        <v>-0.22413793103448285</v>
      </c>
      <c r="I18" s="23">
        <f t="shared" si="1"/>
        <v>-0.42786206896551743</v>
      </c>
      <c r="J18" s="23">
        <f t="shared" si="2"/>
        <v>-0.64817241379310331</v>
      </c>
      <c r="K18" s="25"/>
      <c r="L18" s="25"/>
    </row>
    <row r="19" spans="1:12" s="9" customFormat="1" x14ac:dyDescent="0.15">
      <c r="A19" s="13" t="s">
        <v>46</v>
      </c>
      <c r="B19" s="17">
        <v>5.651766975638059E-2</v>
      </c>
      <c r="C19" s="17">
        <v>4.3849916190295268E-2</v>
      </c>
      <c r="D19" s="17">
        <v>3.8078779998361414E-2</v>
      </c>
      <c r="E19" s="17">
        <v>3.233590264130573E-2</v>
      </c>
      <c r="F19" s="17">
        <v>2.6239789848272705E-2</v>
      </c>
      <c r="G19" s="17">
        <v>1.9884475328425903E-2</v>
      </c>
      <c r="H19" s="23">
        <f t="shared" si="0"/>
        <v>-0.22413793103448307</v>
      </c>
      <c r="I19" s="23">
        <f t="shared" si="1"/>
        <v>-0.42786206896551759</v>
      </c>
      <c r="J19" s="23">
        <f t="shared" si="2"/>
        <v>-0.64817241379310342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0.39686144759363279</v>
      </c>
      <c r="C20" s="17">
        <f t="shared" ref="C20:G20" si="3">C11+C12+C13+C14+C17</f>
        <v>0.42364918434407972</v>
      </c>
      <c r="D20" s="17">
        <f t="shared" si="3"/>
        <v>0.46676803766548991</v>
      </c>
      <c r="E20" s="17">
        <f t="shared" si="3"/>
        <v>0.50020468617096159</v>
      </c>
      <c r="F20" s="17">
        <f t="shared" si="3"/>
        <v>0.53025359415755169</v>
      </c>
      <c r="G20" s="17">
        <f t="shared" si="3"/>
        <v>0.56443730213473042</v>
      </c>
      <c r="H20" s="23">
        <f t="shared" si="0"/>
        <v>6.7498964469525136E-2</v>
      </c>
      <c r="I20" s="23">
        <f t="shared" si="1"/>
        <v>0.26040130429385361</v>
      </c>
      <c r="J20" s="23">
        <f t="shared" si="2"/>
        <v>0.42225279264890281</v>
      </c>
      <c r="K20" s="25"/>
      <c r="L20" s="25"/>
    </row>
    <row r="21" spans="1:12" x14ac:dyDescent="0.15">
      <c r="A21" s="6"/>
    </row>
    <row r="22" spans="1:12" s="10" customFormat="1" x14ac:dyDescent="0.15">
      <c r="A22" s="6"/>
    </row>
  </sheetData>
  <hyperlinks>
    <hyperlink ref="A1" location="Contenido!A1" display="Contenido" xr:uid="{00000000-0004-0000-02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CBCF0-2FD2-4787-842E-05656ECE7E70}">
  <sheetPr>
    <tabColor rgb="FFD18316"/>
  </sheetPr>
  <dimension ref="A1:L23"/>
  <sheetViews>
    <sheetView tabSelected="1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5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14.59542746553293</v>
      </c>
      <c r="C5" s="17">
        <v>13.503940366758108</v>
      </c>
      <c r="D5" s="17">
        <v>13.169172567257712</v>
      </c>
      <c r="E5" s="17">
        <v>12.884050519786179</v>
      </c>
      <c r="F5" s="17">
        <v>12.680425279934092</v>
      </c>
      <c r="G5" s="17">
        <v>12.353561496217985</v>
      </c>
      <c r="H5" s="23">
        <f>+(C5-B5)/B5</f>
        <v>-7.478281135323829E-2</v>
      </c>
      <c r="I5" s="23">
        <f>(E5-B5)/B5</f>
        <v>-0.11725432158723439</v>
      </c>
      <c r="J5" s="23">
        <f>(G5-B5)/B5</f>
        <v>-0.15360056939812877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1.8081584617509443</v>
      </c>
      <c r="C6" s="17">
        <v>1.6860000317415731</v>
      </c>
      <c r="D6" s="17">
        <v>1.6511528018367883</v>
      </c>
      <c r="E6" s="17">
        <v>1.6230844308264807</v>
      </c>
      <c r="F6" s="17">
        <v>1.6036131753413967</v>
      </c>
      <c r="G6" s="17">
        <v>1.5701745040424018</v>
      </c>
      <c r="H6" s="23">
        <f t="shared" ref="H6:H20" si="0">+(C6-B6)/B6</f>
        <v>-6.7559582079481095E-2</v>
      </c>
      <c r="I6" s="23">
        <f t="shared" ref="I6:I20" si="1">(E6-B6)/B6</f>
        <v>-0.1023549842778966</v>
      </c>
      <c r="J6" s="23">
        <f t="shared" ref="J6:J20" si="2">(G6-B6)/B6</f>
        <v>-0.13161675967165451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0.36144749221918682</v>
      </c>
      <c r="C7" s="17">
        <v>0.36144749221918682</v>
      </c>
      <c r="D7" s="17">
        <v>0.36686920460247457</v>
      </c>
      <c r="E7" s="17">
        <v>0.37482104943129674</v>
      </c>
      <c r="F7" s="17">
        <v>0.38168855178346134</v>
      </c>
      <c r="G7" s="17">
        <v>0.38819460664340671</v>
      </c>
      <c r="H7" s="23">
        <f t="shared" si="0"/>
        <v>0</v>
      </c>
      <c r="I7" s="23">
        <f t="shared" si="1"/>
        <v>3.7000000000000026E-2</v>
      </c>
      <c r="J7" s="23">
        <f t="shared" si="2"/>
        <v>7.4000000000000205E-2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0.72195519175120337</v>
      </c>
      <c r="C8" s="17">
        <v>0.50536863422584233</v>
      </c>
      <c r="D8" s="17">
        <v>0.47630993775785629</v>
      </c>
      <c r="E8" s="17">
        <v>0.44920052030759861</v>
      </c>
      <c r="F8" s="17">
        <v>0.41931157536909885</v>
      </c>
      <c r="G8" s="17">
        <v>0.38768993797039619</v>
      </c>
      <c r="H8" s="23">
        <f t="shared" si="0"/>
        <v>-0.30000000000000004</v>
      </c>
      <c r="I8" s="23">
        <f t="shared" si="1"/>
        <v>-0.37780000000000019</v>
      </c>
      <c r="J8" s="23">
        <f t="shared" si="2"/>
        <v>-0.46300000000000002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2.8393264675126467E-3</v>
      </c>
      <c r="C9" s="17">
        <v>2.4102854878425678E-3</v>
      </c>
      <c r="D9" s="17">
        <v>2.2287014729776406E-3</v>
      </c>
      <c r="E9" s="17">
        <v>2.0545505549748704E-3</v>
      </c>
      <c r="F9" s="17">
        <v>1.8656605633643464E-3</v>
      </c>
      <c r="G9" s="17">
        <v>1.6670665896115881E-3</v>
      </c>
      <c r="H9" s="23">
        <f t="shared" si="0"/>
        <v>-0.15110660382986335</v>
      </c>
      <c r="I9" s="23">
        <f t="shared" si="1"/>
        <v>-0.27639509634313686</v>
      </c>
      <c r="J9" s="23">
        <f t="shared" si="2"/>
        <v>-0.41286547753981984</v>
      </c>
      <c r="K9" s="25"/>
      <c r="L9" s="25"/>
    </row>
    <row r="10" spans="1:12" ht="18" x14ac:dyDescent="0.15">
      <c r="A10" s="13" t="s">
        <v>37</v>
      </c>
      <c r="B10" s="17">
        <v>6.3071210456104962E-2</v>
      </c>
      <c r="C10" s="17">
        <v>6.1822275595588026E-2</v>
      </c>
      <c r="D10" s="17">
        <v>6.2115775287809517E-2</v>
      </c>
      <c r="E10" s="17">
        <v>6.2814554342268736E-2</v>
      </c>
      <c r="F10" s="17">
        <v>6.3306010209882149E-2</v>
      </c>
      <c r="G10" s="17">
        <v>6.3714411909271185E-2</v>
      </c>
      <c r="H10" s="23">
        <f t="shared" si="0"/>
        <v>-1.9801980198019892E-2</v>
      </c>
      <c r="I10" s="23">
        <f t="shared" si="1"/>
        <v>-4.0693069306930217E-3</v>
      </c>
      <c r="J10" s="23">
        <f t="shared" si="2"/>
        <v>1.0198019801980259E-2</v>
      </c>
      <c r="K10" s="25"/>
      <c r="L10" s="25"/>
    </row>
    <row r="11" spans="1:12" ht="18" x14ac:dyDescent="0.15">
      <c r="A11" s="13" t="s">
        <v>38</v>
      </c>
      <c r="B11" s="17">
        <v>7.6142498612786933E-3</v>
      </c>
      <c r="C11" s="17">
        <v>6.9510380902407737E-3</v>
      </c>
      <c r="D11" s="17">
        <v>6.7288119158902425E-3</v>
      </c>
      <c r="E11" s="17">
        <v>6.527971812430978E-3</v>
      </c>
      <c r="F11" s="17">
        <v>6.3804137437338503E-3</v>
      </c>
      <c r="G11" s="17">
        <v>6.1592274578838504E-3</v>
      </c>
      <c r="H11" s="23">
        <f t="shared" si="0"/>
        <v>-8.7101393193123253E-2</v>
      </c>
      <c r="I11" s="23">
        <f t="shared" si="1"/>
        <v>-0.14266383013930831</v>
      </c>
      <c r="J11" s="23">
        <f t="shared" si="2"/>
        <v>-0.19109202218253643</v>
      </c>
      <c r="K11" s="25"/>
      <c r="L11" s="25"/>
    </row>
    <row r="12" spans="1:12" ht="18" x14ac:dyDescent="0.15">
      <c r="A12" s="13" t="s">
        <v>39</v>
      </c>
      <c r="B12" s="17">
        <v>2.4149426496253238E-2</v>
      </c>
      <c r="C12" s="17">
        <v>4.0668102005191581E-2</v>
      </c>
      <c r="D12" s="17">
        <v>6.1932022874268411E-2</v>
      </c>
      <c r="E12" s="17">
        <v>8.4375961906559854E-2</v>
      </c>
      <c r="F12" s="17">
        <v>9.6415924539270656E-2</v>
      </c>
      <c r="G12" s="17">
        <v>0.11392584921975817</v>
      </c>
      <c r="H12" s="23">
        <f t="shared" si="0"/>
        <v>0.68401937046004802</v>
      </c>
      <c r="I12" s="23">
        <f t="shared" si="1"/>
        <v>2.4939116222760287</v>
      </c>
      <c r="J12" s="23">
        <f t="shared" si="2"/>
        <v>3.7175384987893465</v>
      </c>
      <c r="K12" s="25"/>
      <c r="L12" s="25"/>
    </row>
    <row r="13" spans="1:12" ht="18" x14ac:dyDescent="0.15">
      <c r="A13" s="13" t="s">
        <v>40</v>
      </c>
      <c r="B13" s="17">
        <v>0.10294912523522574</v>
      </c>
      <c r="C13" s="17">
        <v>0.1166756752665892</v>
      </c>
      <c r="D13" s="17">
        <v>0.13700240810469988</v>
      </c>
      <c r="E13" s="17">
        <v>0.14353052652378243</v>
      </c>
      <c r="F13" s="17">
        <v>0.15878324014279968</v>
      </c>
      <c r="G13" s="17">
        <v>0.17285364025244873</v>
      </c>
      <c r="H13" s="23">
        <f t="shared" si="0"/>
        <v>0.13333333333333358</v>
      </c>
      <c r="I13" s="23">
        <f t="shared" si="1"/>
        <v>0.39418888888888864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4.2764618552987285E-2</v>
      </c>
      <c r="C14" s="17">
        <v>3.8940234052824436E-2</v>
      </c>
      <c r="D14" s="17">
        <v>3.8323886577905406E-2</v>
      </c>
      <c r="E14" s="17">
        <v>3.8005668435556667E-2</v>
      </c>
      <c r="F14" s="17">
        <v>3.6346950289547715E-2</v>
      </c>
      <c r="G14" s="17">
        <v>3.517396062910725E-2</v>
      </c>
      <c r="H14" s="23">
        <f t="shared" si="0"/>
        <v>-8.9428706009016881E-2</v>
      </c>
      <c r="I14" s="23">
        <f t="shared" si="1"/>
        <v>-0.11128241706480009</v>
      </c>
      <c r="J14" s="23">
        <f t="shared" si="2"/>
        <v>-0.17749855326021133</v>
      </c>
      <c r="K14" s="25"/>
      <c r="L14" s="25"/>
    </row>
    <row r="15" spans="1:12" ht="18" x14ac:dyDescent="0.15">
      <c r="A15" s="13" t="s">
        <v>42</v>
      </c>
      <c r="B15" s="17">
        <v>219.53538126452645</v>
      </c>
      <c r="C15" s="17">
        <v>208.55861220130015</v>
      </c>
      <c r="D15" s="17">
        <v>204.3654864191476</v>
      </c>
      <c r="E15" s="17">
        <v>202.29056344422466</v>
      </c>
      <c r="F15" s="17">
        <v>205.43092541871655</v>
      </c>
      <c r="G15" s="17">
        <v>201.64424279504971</v>
      </c>
      <c r="H15" s="23">
        <f t="shared" si="0"/>
        <v>-4.9999999999999899E-2</v>
      </c>
      <c r="I15" s="23">
        <f t="shared" si="1"/>
        <v>-7.8551428571428578E-2</v>
      </c>
      <c r="J15" s="23">
        <f t="shared" si="2"/>
        <v>-8.1495467229125304E-2</v>
      </c>
      <c r="K15" s="25"/>
      <c r="L15" s="25"/>
    </row>
    <row r="16" spans="1:12" ht="18" x14ac:dyDescent="0.15">
      <c r="A16" s="13" t="s">
        <v>43</v>
      </c>
      <c r="B16" s="17">
        <v>2.1512926718828439E-2</v>
      </c>
      <c r="C16" s="17">
        <v>2.1310477185565571E-2</v>
      </c>
      <c r="D16" s="17">
        <v>2.1413832999915561E-2</v>
      </c>
      <c r="E16" s="17">
        <v>2.1855876228175742E-2</v>
      </c>
      <c r="F16" s="17">
        <v>2.2098794357614009E-2</v>
      </c>
      <c r="G16" s="17">
        <v>2.2349597363610935E-2</v>
      </c>
      <c r="H16" s="23">
        <f t="shared" si="0"/>
        <v>-9.4105993065872057E-3</v>
      </c>
      <c r="I16" s="23">
        <f t="shared" si="1"/>
        <v>1.5941555225358898E-2</v>
      </c>
      <c r="J16" s="23">
        <f t="shared" si="2"/>
        <v>3.8891530460624359E-2</v>
      </c>
      <c r="K16" s="25"/>
      <c r="L16" s="25"/>
    </row>
    <row r="17" spans="1:12" ht="18" x14ac:dyDescent="0.15">
      <c r="A17" s="13" t="s">
        <v>44</v>
      </c>
      <c r="B17" s="17">
        <v>0.40993435437347403</v>
      </c>
      <c r="C17" s="17">
        <v>0.40993435437347403</v>
      </c>
      <c r="D17" s="17">
        <v>0.41608336968907611</v>
      </c>
      <c r="E17" s="17">
        <v>0.42510192548529246</v>
      </c>
      <c r="F17" s="17">
        <v>0.43289067821838856</v>
      </c>
      <c r="G17" s="17">
        <v>0.44026949659711112</v>
      </c>
      <c r="H17" s="23">
        <f t="shared" si="0"/>
        <v>0</v>
      </c>
      <c r="I17" s="23">
        <f t="shared" si="1"/>
        <v>3.6999999999999741E-2</v>
      </c>
      <c r="J17" s="23">
        <f t="shared" si="2"/>
        <v>7.4000000000000024E-2</v>
      </c>
      <c r="K17" s="25"/>
      <c r="L17" s="25"/>
    </row>
    <row r="18" spans="1:12" ht="18" x14ac:dyDescent="0.15">
      <c r="A18" s="13" t="s">
        <v>45</v>
      </c>
      <c r="B18" s="17">
        <v>1.8604695255156872E-2</v>
      </c>
      <c r="C18" s="17">
        <v>1.4434677353138954E-2</v>
      </c>
      <c r="D18" s="17">
        <v>1.2534913428161943E-2</v>
      </c>
      <c r="E18" s="17">
        <v>1.0644451850812512E-2</v>
      </c>
      <c r="F18" s="17">
        <v>8.6377109281183528E-3</v>
      </c>
      <c r="G18" s="17">
        <v>6.5456450237367479E-3</v>
      </c>
      <c r="H18" s="23">
        <f t="shared" si="0"/>
        <v>-0.22413793103448271</v>
      </c>
      <c r="I18" s="23">
        <f t="shared" si="1"/>
        <v>-0.42786206896551721</v>
      </c>
      <c r="J18" s="23">
        <f t="shared" si="2"/>
        <v>-0.6481724137931032</v>
      </c>
      <c r="K18" s="25"/>
      <c r="L18" s="25"/>
    </row>
    <row r="19" spans="1:12" s="11" customFormat="1" x14ac:dyDescent="0.15">
      <c r="A19" s="13" t="s">
        <v>46</v>
      </c>
      <c r="B19" s="17">
        <v>7.2418789910022041E-2</v>
      </c>
      <c r="C19" s="17">
        <v>5.6186992171568841E-2</v>
      </c>
      <c r="D19" s="17">
        <v>4.879215970187737E-2</v>
      </c>
      <c r="E19" s="17">
        <v>4.1433536627140874E-2</v>
      </c>
      <c r="F19" s="17">
        <v>3.3622296115466799E-2</v>
      </c>
      <c r="G19" s="17">
        <v>2.5478928050067424E-2</v>
      </c>
      <c r="H19" s="23">
        <f t="shared" si="0"/>
        <v>-0.22413793103448254</v>
      </c>
      <c r="I19" s="23">
        <f t="shared" si="1"/>
        <v>-0.42786206896551743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0.99764603311681432</v>
      </c>
      <c r="C20" s="17">
        <v>1.0172674346613626</v>
      </c>
      <c r="D20" s="17">
        <v>1.0729003374780883</v>
      </c>
      <c r="E20" s="17">
        <v>1.1203617596889262</v>
      </c>
      <c r="F20" s="17">
        <v>1.1582778340355282</v>
      </c>
      <c r="G20" s="17">
        <v>1.2023835167623123</v>
      </c>
      <c r="H20" s="23">
        <f t="shared" si="0"/>
        <v>1.966769865585263E-2</v>
      </c>
      <c r="I20" s="23">
        <f t="shared" si="1"/>
        <v>0.12300527692043962</v>
      </c>
      <c r="J20" s="23">
        <f t="shared" si="2"/>
        <v>0.20522056606175593</v>
      </c>
      <c r="K20" s="25"/>
      <c r="L20" s="25"/>
    </row>
    <row r="21" spans="1:12" ht="15" x14ac:dyDescent="0.2">
      <c r="A21"/>
    </row>
    <row r="22" spans="1:12" s="9" customFormat="1" ht="15" x14ac:dyDescent="0.2">
      <c r="A22"/>
    </row>
    <row r="23" spans="1:12" ht="15" x14ac:dyDescent="0.2">
      <c r="A23"/>
    </row>
  </sheetData>
  <hyperlinks>
    <hyperlink ref="A1" location="Contenido!A1" display="Contenido" xr:uid="{BD27B5E0-54EA-4ADC-A985-5818923FF28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3394-9627-4442-B3AC-01B9EBFCD121}">
  <sheetPr>
    <tabColor rgb="FFD18316"/>
  </sheetPr>
  <dimension ref="A1:L22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6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4.8045481093150819</v>
      </c>
      <c r="C5" s="17">
        <v>4.3768419665790717</v>
      </c>
      <c r="D5" s="17">
        <v>4.2319396401973366</v>
      </c>
      <c r="E5" s="17">
        <v>4.1000879776088253</v>
      </c>
      <c r="F5" s="17">
        <v>4.0029156441603613</v>
      </c>
      <c r="G5" s="17">
        <v>3.86316280591537</v>
      </c>
      <c r="H5" s="23">
        <f>+(C5-B5)/B5</f>
        <v>-8.9021096886671078E-2</v>
      </c>
      <c r="I5" s="23">
        <f>(E5-B5)/B5</f>
        <v>-0.1466235982402686</v>
      </c>
      <c r="J5" s="23">
        <f>(G5-B5)/B5</f>
        <v>-0.19593628411682451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0.36197816154430901</v>
      </c>
      <c r="C6" s="17">
        <v>0.34902622532081873</v>
      </c>
      <c r="D6" s="17">
        <v>0.34788552519246196</v>
      </c>
      <c r="E6" s="17">
        <v>0.34865542643549613</v>
      </c>
      <c r="F6" s="17">
        <v>0.34982604254925054</v>
      </c>
      <c r="G6" s="17">
        <v>0.3493454864136018</v>
      </c>
      <c r="H6" s="23">
        <f t="shared" ref="H6:H20" si="0">+(C6-B6)/B6</f>
        <v>-3.5780987914390681E-2</v>
      </c>
      <c r="I6" s="23">
        <f t="shared" ref="I6:I20" si="1">(E6-B6)/B6</f>
        <v>-3.6805356024722694E-2</v>
      </c>
      <c r="J6" s="23">
        <f t="shared" ref="J6:J20" si="2">(G6-B6)/B6</f>
        <v>-3.4898997985990006E-2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0.37120011864418978</v>
      </c>
      <c r="C7" s="17">
        <v>0.37120011864418978</v>
      </c>
      <c r="D7" s="17">
        <v>0.37676812042385255</v>
      </c>
      <c r="E7" s="17">
        <v>0.38493452303402476</v>
      </c>
      <c r="F7" s="17">
        <v>0.39198732528826435</v>
      </c>
      <c r="G7" s="17">
        <v>0.39866892742385979</v>
      </c>
      <c r="H7" s="23">
        <f t="shared" si="0"/>
        <v>0</v>
      </c>
      <c r="I7" s="23">
        <f t="shared" si="1"/>
        <v>3.6999999999999873E-2</v>
      </c>
      <c r="J7" s="23">
        <f t="shared" si="2"/>
        <v>7.3999999999999899E-2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0.38964985618296094</v>
      </c>
      <c r="C8" s="17">
        <v>0.27275489932807262</v>
      </c>
      <c r="D8" s="17">
        <v>0.25707149261670836</v>
      </c>
      <c r="E8" s="17">
        <v>0.24244014051703813</v>
      </c>
      <c r="F8" s="17">
        <v>0.22630863647106361</v>
      </c>
      <c r="G8" s="17">
        <v>0.20924197277025003</v>
      </c>
      <c r="H8" s="23">
        <f t="shared" si="0"/>
        <v>-0.3000000000000001</v>
      </c>
      <c r="I8" s="23">
        <f t="shared" si="1"/>
        <v>-0.37780000000000041</v>
      </c>
      <c r="J8" s="23">
        <f t="shared" si="2"/>
        <v>-0.46299999999999997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2.6232307649643734E-3</v>
      </c>
      <c r="C9" s="17">
        <v>2.226843273008591E-3</v>
      </c>
      <c r="D9" s="17">
        <v>2.0590792699361608E-3</v>
      </c>
      <c r="E9" s="17">
        <v>1.8981826449517636E-3</v>
      </c>
      <c r="F9" s="17">
        <v>1.7236687090391152E-3</v>
      </c>
      <c r="G9" s="17">
        <v>1.5401893424902102E-3</v>
      </c>
      <c r="H9" s="23">
        <f t="shared" si="0"/>
        <v>-0.15110660382986388</v>
      </c>
      <c r="I9" s="23">
        <f t="shared" si="1"/>
        <v>-0.2763950963431373</v>
      </c>
      <c r="J9" s="23">
        <f t="shared" si="2"/>
        <v>-0.41286547753981995</v>
      </c>
      <c r="K9" s="25"/>
      <c r="L9" s="25"/>
    </row>
    <row r="10" spans="1:12" ht="18" x14ac:dyDescent="0.15">
      <c r="A10" s="13" t="s">
        <v>37</v>
      </c>
      <c r="B10" s="17">
        <v>7.0628146058875477E-2</v>
      </c>
      <c r="C10" s="17">
        <v>6.9229568909194808E-2</v>
      </c>
      <c r="D10" s="17">
        <v>6.9558234539369768E-2</v>
      </c>
      <c r="E10" s="17">
        <v>7.0340738454616109E-2</v>
      </c>
      <c r="F10" s="17">
        <v>7.0891078563015478E-2</v>
      </c>
      <c r="G10" s="17">
        <v>7.1348413290961088E-2</v>
      </c>
      <c r="H10" s="23">
        <f t="shared" si="0"/>
        <v>-1.9801980198019323E-2</v>
      </c>
      <c r="I10" s="23">
        <f t="shared" si="1"/>
        <v>-4.0693069306928405E-3</v>
      </c>
      <c r="J10" s="23">
        <f t="shared" si="2"/>
        <v>1.0198019801980899E-2</v>
      </c>
      <c r="K10" s="25"/>
      <c r="L10" s="25"/>
    </row>
    <row r="11" spans="1:12" ht="18" x14ac:dyDescent="0.15">
      <c r="A11" s="13" t="s">
        <v>38</v>
      </c>
      <c r="B11" s="17">
        <v>4.3858922723591515E-3</v>
      </c>
      <c r="C11" s="17">
        <v>4.2496059843182797E-3</v>
      </c>
      <c r="D11" s="17">
        <v>4.2462578570248953E-3</v>
      </c>
      <c r="E11" s="17">
        <v>4.2670528943115895E-3</v>
      </c>
      <c r="F11" s="17">
        <v>4.2903334697232285E-3</v>
      </c>
      <c r="G11" s="17">
        <v>4.2956626539466126E-3</v>
      </c>
      <c r="H11" s="23">
        <f t="shared" si="0"/>
        <v>-3.1073788314359117E-2</v>
      </c>
      <c r="I11" s="23">
        <f t="shared" si="1"/>
        <v>-2.7095826953277804E-2</v>
      </c>
      <c r="J11" s="23">
        <f t="shared" si="2"/>
        <v>-2.0572693720998483E-2</v>
      </c>
      <c r="K11" s="25"/>
      <c r="L11" s="25"/>
    </row>
    <row r="12" spans="1:12" ht="18" x14ac:dyDescent="0.15">
      <c r="A12" s="13" t="s">
        <v>39</v>
      </c>
      <c r="B12" s="17">
        <v>7.8519404428007041E-3</v>
      </c>
      <c r="C12" s="17">
        <v>1.3222819801375029E-2</v>
      </c>
      <c r="D12" s="17">
        <v>2.0136567433035039E-2</v>
      </c>
      <c r="E12" s="17">
        <v>2.7433985970520568E-2</v>
      </c>
      <c r="F12" s="17">
        <v>3.1348657382707479E-2</v>
      </c>
      <c r="G12" s="17">
        <v>3.70418313291134E-2</v>
      </c>
      <c r="H12" s="23">
        <f t="shared" si="0"/>
        <v>0.68401937046004757</v>
      </c>
      <c r="I12" s="23">
        <f t="shared" si="1"/>
        <v>2.4939116222760287</v>
      </c>
      <c r="J12" s="23">
        <f t="shared" si="2"/>
        <v>3.7175384987893478</v>
      </c>
      <c r="K12" s="25"/>
      <c r="L12" s="25"/>
    </row>
    <row r="13" spans="1:12" ht="18" x14ac:dyDescent="0.15">
      <c r="A13" s="13" t="s">
        <v>40</v>
      </c>
      <c r="B13" s="17">
        <v>2.2551584550217937E-2</v>
      </c>
      <c r="C13" s="17">
        <v>2.5558462490246993E-2</v>
      </c>
      <c r="D13" s="17">
        <v>3.0011147573106689E-2</v>
      </c>
      <c r="E13" s="17">
        <v>3.1441168606752175E-2</v>
      </c>
      <c r="F13" s="17">
        <v>3.478236125908013E-2</v>
      </c>
      <c r="G13" s="17">
        <v>3.7864561491506916E-2</v>
      </c>
      <c r="H13" s="23">
        <f t="shared" si="0"/>
        <v>0.13333333333333325</v>
      </c>
      <c r="I13" s="23">
        <f t="shared" si="1"/>
        <v>0.39418888888888876</v>
      </c>
      <c r="J13" s="23">
        <f t="shared" si="2"/>
        <v>0.67901999999999985</v>
      </c>
      <c r="K13" s="25"/>
      <c r="L13" s="25"/>
    </row>
    <row r="14" spans="1:12" ht="18" x14ac:dyDescent="0.15">
      <c r="A14" s="13" t="s">
        <v>41</v>
      </c>
      <c r="B14" s="17">
        <v>9.8025482754682224E-3</v>
      </c>
      <c r="C14" s="17">
        <v>8.9259190676021817E-3</v>
      </c>
      <c r="D14" s="17">
        <v>8.7846392881538813E-3</v>
      </c>
      <c r="E14" s="17">
        <v>8.711697009979728E-3</v>
      </c>
      <c r="F14" s="17">
        <v>8.3314839915588773E-3</v>
      </c>
      <c r="G14" s="17">
        <v>8.0626101383092352E-3</v>
      </c>
      <c r="H14" s="23">
        <f t="shared" si="0"/>
        <v>-8.9428706009016631E-2</v>
      </c>
      <c r="I14" s="23">
        <f t="shared" si="1"/>
        <v>-0.11128241706480037</v>
      </c>
      <c r="J14" s="23">
        <f t="shared" si="2"/>
        <v>-0.17749855326021113</v>
      </c>
      <c r="K14" s="25"/>
      <c r="L14" s="25"/>
    </row>
    <row r="15" spans="1:12" ht="18" x14ac:dyDescent="0.15">
      <c r="A15" s="13" t="s">
        <v>42</v>
      </c>
      <c r="B15" s="17">
        <v>216.1930930588093</v>
      </c>
      <c r="C15" s="17">
        <v>205.38343840586893</v>
      </c>
      <c r="D15" s="17">
        <v>201.25415032844558</v>
      </c>
      <c r="E15" s="17">
        <v>199.21081675176404</v>
      </c>
      <c r="F15" s="17">
        <v>198.02426505795279</v>
      </c>
      <c r="G15" s="17">
        <v>194.37410848084065</v>
      </c>
      <c r="H15" s="23">
        <f t="shared" si="0"/>
        <v>-4.9999999999999545E-2</v>
      </c>
      <c r="I15" s="23">
        <f t="shared" si="1"/>
        <v>-7.8551428571428508E-2</v>
      </c>
      <c r="J15" s="23">
        <f t="shared" si="2"/>
        <v>-0.10092359690711027</v>
      </c>
      <c r="K15" s="25"/>
      <c r="L15" s="25"/>
    </row>
    <row r="16" spans="1:12" ht="18" x14ac:dyDescent="0.15">
      <c r="A16" s="13" t="s">
        <v>43</v>
      </c>
      <c r="B16" s="17">
        <v>3.8382339303390392E-3</v>
      </c>
      <c r="C16" s="17">
        <v>3.8021138487756697E-3</v>
      </c>
      <c r="D16" s="17">
        <v>3.820554100942231E-3</v>
      </c>
      <c r="E16" s="17">
        <v>3.8994213485073858E-3</v>
      </c>
      <c r="F16" s="17">
        <v>3.9427616442695807E-3</v>
      </c>
      <c r="G16" s="17">
        <v>3.9875087221558194E-3</v>
      </c>
      <c r="H16" s="23">
        <f t="shared" si="0"/>
        <v>-9.4105993065875838E-3</v>
      </c>
      <c r="I16" s="23">
        <f t="shared" si="1"/>
        <v>1.5941555225359023E-2</v>
      </c>
      <c r="J16" s="23">
        <f t="shared" si="2"/>
        <v>3.8891530460623693E-2</v>
      </c>
      <c r="K16" s="25"/>
      <c r="L16" s="25"/>
    </row>
    <row r="17" spans="1:12" ht="18" x14ac:dyDescent="0.15">
      <c r="A17" s="13" t="s">
        <v>44</v>
      </c>
      <c r="B17" s="17">
        <v>8.1158791146179798E-2</v>
      </c>
      <c r="C17" s="17">
        <v>8.1158791146179798E-2</v>
      </c>
      <c r="D17" s="17">
        <v>8.2376173013372467E-2</v>
      </c>
      <c r="E17" s="17">
        <v>8.4161666418588424E-2</v>
      </c>
      <c r="F17" s="17">
        <v>8.5703683450365858E-2</v>
      </c>
      <c r="G17" s="17">
        <v>8.7164541690997091E-2</v>
      </c>
      <c r="H17" s="23">
        <f t="shared" si="0"/>
        <v>0</v>
      </c>
      <c r="I17" s="23">
        <f t="shared" si="1"/>
        <v>3.6999999999999665E-2</v>
      </c>
      <c r="J17" s="23">
        <f t="shared" si="2"/>
        <v>7.3999999999999844E-2</v>
      </c>
      <c r="K17" s="25"/>
      <c r="L17" s="25"/>
    </row>
    <row r="18" spans="1:12" ht="18" x14ac:dyDescent="0.15">
      <c r="A18" s="13" t="s">
        <v>45</v>
      </c>
      <c r="B18" s="17">
        <v>1.3145442324136985E-2</v>
      </c>
      <c r="C18" s="17">
        <v>1.0199050079071797E-2</v>
      </c>
      <c r="D18" s="17">
        <v>8.8567417658872889E-3</v>
      </c>
      <c r="E18" s="17">
        <v>7.5210061738648576E-3</v>
      </c>
      <c r="F18" s="17">
        <v>6.1031115673165666E-3</v>
      </c>
      <c r="G18" s="17">
        <v>4.6249292425230935E-3</v>
      </c>
      <c r="H18" s="23">
        <f t="shared" si="0"/>
        <v>-0.22413793103448287</v>
      </c>
      <c r="I18" s="23">
        <f t="shared" si="1"/>
        <v>-0.42786206896551721</v>
      </c>
      <c r="J18" s="23">
        <f t="shared" si="2"/>
        <v>-0.64817241379310331</v>
      </c>
      <c r="K18" s="25"/>
      <c r="L18" s="25"/>
    </row>
    <row r="19" spans="1:12" s="9" customFormat="1" x14ac:dyDescent="0.15">
      <c r="A19" s="13" t="s">
        <v>46</v>
      </c>
      <c r="B19" s="17">
        <v>7.953207380386039E-3</v>
      </c>
      <c r="C19" s="17">
        <v>6.1705919330581338E-3</v>
      </c>
      <c r="D19" s="17">
        <v>5.358473472535096E-3</v>
      </c>
      <c r="E19" s="17">
        <v>4.5503316157022465E-3</v>
      </c>
      <c r="F19" s="17">
        <v>3.6924822127419902E-3</v>
      </c>
      <c r="G19" s="17">
        <v>2.7981577552440972E-3</v>
      </c>
      <c r="H19" s="23">
        <f t="shared" si="0"/>
        <v>-0.22413793103448273</v>
      </c>
      <c r="I19" s="23">
        <f t="shared" si="1"/>
        <v>-0.42786206896551726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221.93269117128855</v>
      </c>
      <c r="C20" s="17">
        <v>199.75161520790999</v>
      </c>
      <c r="D20" s="17">
        <v>202.99484194259281</v>
      </c>
      <c r="E20" s="17">
        <v>201.23817646535656</v>
      </c>
      <c r="F20" s="17">
        <v>199.12618515595381</v>
      </c>
      <c r="G20" s="17">
        <v>198.44059241883733</v>
      </c>
      <c r="H20" s="23">
        <f t="shared" si="0"/>
        <v>-9.994505922635398E-2</v>
      </c>
      <c r="I20" s="23">
        <f t="shared" si="1"/>
        <v>-9.3246806483141695E-2</v>
      </c>
      <c r="J20" s="23">
        <f t="shared" si="2"/>
        <v>-0.10585235833651893</v>
      </c>
      <c r="K20" s="25"/>
      <c r="L20" s="25"/>
    </row>
    <row r="21" spans="1:12" ht="15" x14ac:dyDescent="0.2">
      <c r="A21"/>
    </row>
    <row r="22" spans="1:12" s="9" customFormat="1" ht="15" x14ac:dyDescent="0.2">
      <c r="A22"/>
    </row>
  </sheetData>
  <hyperlinks>
    <hyperlink ref="A1" location="Contenido!A1" display="Contenido" xr:uid="{1B65EE24-F409-42E2-95F5-127CF8E6B6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89C0A-4FB3-4365-B47D-E6861740386D}">
  <sheetPr>
    <tabColor rgb="FFD18316"/>
  </sheetPr>
  <dimension ref="A1:L22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7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5.9093669512740785</v>
      </c>
      <c r="C5" s="17">
        <v>5.3764764658057764</v>
      </c>
      <c r="D5" s="17">
        <v>5.1947875800692715</v>
      </c>
      <c r="E5" s="17">
        <v>5.0288216309116596</v>
      </c>
      <c r="F5" s="17">
        <v>4.9062938253153519</v>
      </c>
      <c r="G5" s="17">
        <v>4.724814447225107</v>
      </c>
      <c r="H5" s="23">
        <f>+(C5-B5)/B5</f>
        <v>-9.0177254156371039E-2</v>
      </c>
      <c r="I5" s="23">
        <f>(E5-B5)/B5</f>
        <v>-0.14900840100521606</v>
      </c>
      <c r="J5" s="23">
        <f>(G5-B5)/B5</f>
        <v>-0.20045336730926452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0.82100070351023546</v>
      </c>
      <c r="C6" s="17">
        <v>0.76911786356061096</v>
      </c>
      <c r="D6" s="17">
        <v>0.7551132890243778</v>
      </c>
      <c r="E6" s="17">
        <v>0.74435912280914618</v>
      </c>
      <c r="F6" s="17">
        <v>0.73709717146670239</v>
      </c>
      <c r="G6" s="17">
        <v>0.72384996834892301</v>
      </c>
      <c r="H6" s="23">
        <f t="shared" ref="H6:H20" si="0">+(C6-B6)/B6</f>
        <v>-6.3194635190684315E-2</v>
      </c>
      <c r="I6" s="23">
        <f t="shared" ref="I6:I20" si="1">(E6-B6)/B6</f>
        <v>-9.3351419034604755E-2</v>
      </c>
      <c r="J6" s="23">
        <f t="shared" ref="J6:J20" si="2">(G6-B6)/B6</f>
        <v>-0.11833209733674883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0.34291858453784907</v>
      </c>
      <c r="C7" s="17">
        <v>0.34291858453784907</v>
      </c>
      <c r="D7" s="17">
        <v>0.34806236330591678</v>
      </c>
      <c r="E7" s="17">
        <v>0.35560657216574948</v>
      </c>
      <c r="F7" s="17">
        <v>0.36212202527196863</v>
      </c>
      <c r="G7" s="17">
        <v>0.36829455979364994</v>
      </c>
      <c r="H7" s="23">
        <f t="shared" si="0"/>
        <v>0</v>
      </c>
      <c r="I7" s="23">
        <f t="shared" si="1"/>
        <v>3.6999999999999984E-2</v>
      </c>
      <c r="J7" s="23">
        <f t="shared" si="2"/>
        <v>7.4000000000000135E-2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0.41583376944874839</v>
      </c>
      <c r="C8" s="17">
        <v>0.29108363861412379</v>
      </c>
      <c r="D8" s="17">
        <v>0.27434632939381176</v>
      </c>
      <c r="E8" s="17">
        <v>0.25873177135101122</v>
      </c>
      <c r="F8" s="17">
        <v>0.24151625329583312</v>
      </c>
      <c r="G8" s="17">
        <v>0.22330273419397792</v>
      </c>
      <c r="H8" s="23">
        <f t="shared" si="0"/>
        <v>-0.30000000000000021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1.5522311024806534E-3</v>
      </c>
      <c r="C9" s="17">
        <v>1.3176787322257174E-3</v>
      </c>
      <c r="D9" s="17">
        <v>1.2184085853047225E-3</v>
      </c>
      <c r="E9" s="17">
        <v>1.1232020373637E-3</v>
      </c>
      <c r="F9" s="17">
        <v>1.0199377867465384E-3</v>
      </c>
      <c r="G9" s="17">
        <v>9.1136846710281765E-4</v>
      </c>
      <c r="H9" s="23">
        <f t="shared" si="0"/>
        <v>-0.15110660382986324</v>
      </c>
      <c r="I9" s="23">
        <f t="shared" si="1"/>
        <v>-0.27639509634313658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5.2782554332321922E-2</v>
      </c>
      <c r="C10" s="17">
        <v>5.1737355236632393E-2</v>
      </c>
      <c r="D10" s="17">
        <v>5.1982977024119414E-2</v>
      </c>
      <c r="E10" s="17">
        <v>5.256776591815774E-2</v>
      </c>
      <c r="F10" s="17">
        <v>5.297905176231156E-2</v>
      </c>
      <c r="G10" s="17">
        <v>5.3320831866602053E-2</v>
      </c>
      <c r="H10" s="23">
        <f t="shared" si="0"/>
        <v>-1.9801980198019542E-2</v>
      </c>
      <c r="I10" s="23">
        <f t="shared" si="1"/>
        <v>-4.069306930692719E-3</v>
      </c>
      <c r="J10" s="23">
        <f t="shared" si="2"/>
        <v>1.0198019801980504E-2</v>
      </c>
      <c r="K10" s="25"/>
      <c r="L10" s="25"/>
    </row>
    <row r="11" spans="1:12" ht="18" x14ac:dyDescent="0.15">
      <c r="A11" s="13" t="s">
        <v>38</v>
      </c>
      <c r="B11" s="17">
        <v>7.041209896728789E-3</v>
      </c>
      <c r="C11" s="17">
        <v>6.5120076750413034E-3</v>
      </c>
      <c r="D11" s="17">
        <v>6.3491674484985909E-3</v>
      </c>
      <c r="E11" s="17">
        <v>6.2101505380040955E-3</v>
      </c>
      <c r="F11" s="17">
        <v>6.1107528958809524E-3</v>
      </c>
      <c r="G11" s="17">
        <v>5.9516389562364351E-3</v>
      </c>
      <c r="H11" s="23">
        <f t="shared" si="0"/>
        <v>-7.5157853472503741E-2</v>
      </c>
      <c r="I11" s="23">
        <f t="shared" si="1"/>
        <v>-0.11802792004692088</v>
      </c>
      <c r="J11" s="23">
        <f t="shared" si="2"/>
        <v>-0.15474200548950368</v>
      </c>
      <c r="K11" s="25"/>
      <c r="L11" s="25"/>
    </row>
    <row r="12" spans="1:12" ht="18" x14ac:dyDescent="0.15">
      <c r="A12" s="13" t="s">
        <v>39</v>
      </c>
      <c r="B12" s="17">
        <v>1.8755268392712049E-2</v>
      </c>
      <c r="C12" s="17">
        <v>3.1584235271504189E-2</v>
      </c>
      <c r="D12" s="17">
        <v>4.8098521564919963E-2</v>
      </c>
      <c r="E12" s="17">
        <v>6.5529250216202872E-2</v>
      </c>
      <c r="F12" s="17">
        <v>7.4879895899227708E-2</v>
      </c>
      <c r="G12" s="17">
        <v>8.847870069774609E-2</v>
      </c>
      <c r="H12" s="23">
        <f t="shared" si="0"/>
        <v>0.68401937046004846</v>
      </c>
      <c r="I12" s="23">
        <f t="shared" si="1"/>
        <v>2.4939116222760283</v>
      </c>
      <c r="J12" s="23">
        <f t="shared" si="2"/>
        <v>3.7175384987893469</v>
      </c>
      <c r="K12" s="25"/>
      <c r="L12" s="25"/>
    </row>
    <row r="13" spans="1:12" ht="18" x14ac:dyDescent="0.15">
      <c r="A13" s="13" t="s">
        <v>40</v>
      </c>
      <c r="B13" s="17">
        <v>7.5409630251875845E-2</v>
      </c>
      <c r="C13" s="17">
        <v>8.5464247618792649E-2</v>
      </c>
      <c r="D13" s="17">
        <v>0.1003534601696352</v>
      </c>
      <c r="E13" s="17">
        <v>0.10513526861238474</v>
      </c>
      <c r="F13" s="17">
        <v>0.11630779185354653</v>
      </c>
      <c r="G13" s="17">
        <v>0.1266142773855046</v>
      </c>
      <c r="H13" s="23">
        <f t="shared" si="0"/>
        <v>0.13333333333333366</v>
      </c>
      <c r="I13" s="23">
        <f t="shared" si="1"/>
        <v>0.39418888888888914</v>
      </c>
      <c r="J13" s="23">
        <f t="shared" si="2"/>
        <v>0.67902000000000018</v>
      </c>
      <c r="K13" s="25"/>
      <c r="L13" s="25"/>
    </row>
    <row r="14" spans="1:12" ht="18" x14ac:dyDescent="0.15">
      <c r="A14" s="13" t="s">
        <v>41</v>
      </c>
      <c r="B14" s="17">
        <v>2.0850916117401135E-2</v>
      </c>
      <c r="C14" s="17">
        <v>1.898624566991939E-2</v>
      </c>
      <c r="D14" s="17">
        <v>1.8685730666312267E-2</v>
      </c>
      <c r="E14" s="17">
        <v>1.8530575773841332E-2</v>
      </c>
      <c r="F14" s="17">
        <v>1.7721827932866436E-2</v>
      </c>
      <c r="G14" s="17">
        <v>1.7149908672412412E-2</v>
      </c>
      <c r="H14" s="23">
        <f t="shared" si="0"/>
        <v>-8.9428706009017228E-2</v>
      </c>
      <c r="I14" s="23">
        <f t="shared" si="1"/>
        <v>-0.11128241706480045</v>
      </c>
      <c r="J14" s="23">
        <f t="shared" si="2"/>
        <v>-0.17749855326021124</v>
      </c>
      <c r="K14" s="25"/>
      <c r="L14" s="25"/>
    </row>
    <row r="15" spans="1:12" ht="18" x14ac:dyDescent="0.15">
      <c r="A15" s="13" t="s">
        <v>42</v>
      </c>
      <c r="B15" s="17">
        <v>129.51438715202966</v>
      </c>
      <c r="C15" s="17">
        <v>123.03866779442818</v>
      </c>
      <c r="D15" s="17">
        <v>120.56494299982437</v>
      </c>
      <c r="E15" s="17">
        <v>119.34084702068466</v>
      </c>
      <c r="F15" s="17">
        <v>118.80792809988607</v>
      </c>
      <c r="G15" s="17">
        <v>116.61795638081442</v>
      </c>
      <c r="H15" s="23">
        <f t="shared" si="0"/>
        <v>-4.9999999999999954E-2</v>
      </c>
      <c r="I15" s="23">
        <f t="shared" si="1"/>
        <v>-7.855142857142848E-2</v>
      </c>
      <c r="J15" s="23">
        <f t="shared" si="2"/>
        <v>-9.9575275417678827E-2</v>
      </c>
      <c r="K15" s="25"/>
      <c r="L15" s="25"/>
    </row>
    <row r="16" spans="1:12" ht="18" x14ac:dyDescent="0.15">
      <c r="A16" s="13" t="s">
        <v>43</v>
      </c>
      <c r="B16" s="17">
        <v>3.0744838318876779E-3</v>
      </c>
      <c r="C16" s="17">
        <v>3.0455510964712018E-3</v>
      </c>
      <c r="D16" s="17">
        <v>3.0603220192890871E-3</v>
      </c>
      <c r="E16" s="17">
        <v>3.1234958856831896E-3</v>
      </c>
      <c r="F16" s="17">
        <v>3.1582121226318653E-3</v>
      </c>
      <c r="G16" s="17">
        <v>3.1940552134862351E-3</v>
      </c>
      <c r="H16" s="23">
        <f t="shared" si="0"/>
        <v>-9.4105993065873358E-3</v>
      </c>
      <c r="I16" s="23">
        <f t="shared" si="1"/>
        <v>1.5941555225359279E-2</v>
      </c>
      <c r="J16" s="23">
        <f t="shared" si="2"/>
        <v>3.8891530460624504E-2</v>
      </c>
      <c r="K16" s="25"/>
      <c r="L16" s="25"/>
    </row>
    <row r="17" spans="1:12" ht="18" x14ac:dyDescent="0.15">
      <c r="A17" s="13" t="s">
        <v>44</v>
      </c>
      <c r="B17" s="17">
        <v>0.20995931356275468</v>
      </c>
      <c r="C17" s="17">
        <v>0.20995931356275468</v>
      </c>
      <c r="D17" s="17">
        <v>0.21310870326619596</v>
      </c>
      <c r="E17" s="17">
        <v>0.21772780816457657</v>
      </c>
      <c r="F17" s="17">
        <v>0.22171703512226898</v>
      </c>
      <c r="G17" s="17">
        <v>0.22549630276639854</v>
      </c>
      <c r="H17" s="23">
        <f t="shared" si="0"/>
        <v>0</v>
      </c>
      <c r="I17" s="23">
        <f t="shared" si="1"/>
        <v>3.6999999999999818E-2</v>
      </c>
      <c r="J17" s="23">
        <f t="shared" si="2"/>
        <v>7.4000000000000024E-2</v>
      </c>
      <c r="K17" s="25"/>
      <c r="L17" s="25"/>
    </row>
    <row r="18" spans="1:12" ht="18" x14ac:dyDescent="0.15">
      <c r="A18" s="13" t="s">
        <v>45</v>
      </c>
      <c r="B18" s="17">
        <v>1.0517692694961568E-2</v>
      </c>
      <c r="C18" s="17">
        <v>8.1602788150563887E-3</v>
      </c>
      <c r="D18" s="17">
        <v>7.0862954532303572E-3</v>
      </c>
      <c r="E18" s="17">
        <v>6.017570937751804E-3</v>
      </c>
      <c r="F18" s="17">
        <v>4.8831108429297438E-3</v>
      </c>
      <c r="G18" s="17">
        <v>3.7004144333342391E-3</v>
      </c>
      <c r="H18" s="23">
        <f t="shared" si="0"/>
        <v>-0.22413793103448276</v>
      </c>
      <c r="I18" s="23">
        <f t="shared" si="1"/>
        <v>-0.42786206896551732</v>
      </c>
      <c r="J18" s="23">
        <f t="shared" si="2"/>
        <v>-0.64817241379310331</v>
      </c>
      <c r="K18" s="25"/>
      <c r="L18" s="25"/>
    </row>
    <row r="19" spans="1:12" s="9" customFormat="1" x14ac:dyDescent="0.15">
      <c r="A19" s="13" t="s">
        <v>46</v>
      </c>
      <c r="B19" s="17">
        <v>5.2318635539526176E-2</v>
      </c>
      <c r="C19" s="17">
        <v>4.0592044815149608E-2</v>
      </c>
      <c r="D19" s="17">
        <v>3.5249680694755765E-2</v>
      </c>
      <c r="E19" s="17">
        <v>2.9933475892131654E-2</v>
      </c>
      <c r="F19" s="17">
        <v>2.4290279617385543E-2</v>
      </c>
      <c r="G19" s="17">
        <v>1.8407139255509852E-2</v>
      </c>
      <c r="H19" s="23">
        <f t="shared" si="0"/>
        <v>-0.22413793103448296</v>
      </c>
      <c r="I19" s="23">
        <f t="shared" si="1"/>
        <v>-0.42786206896551748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0.33201633822147247</v>
      </c>
      <c r="C20" s="17">
        <f t="shared" ref="C20:G20" si="3">C11+C12+C13+C14+C17</f>
        <v>0.3525060497980122</v>
      </c>
      <c r="D20" s="17">
        <f t="shared" si="3"/>
        <v>0.38659558311556197</v>
      </c>
      <c r="E20" s="17">
        <f t="shared" si="3"/>
        <v>0.4131330533050096</v>
      </c>
      <c r="F20" s="17">
        <f t="shared" si="3"/>
        <v>0.4367373037037906</v>
      </c>
      <c r="G20" s="17">
        <f t="shared" si="3"/>
        <v>0.46369082847829812</v>
      </c>
      <c r="H20" s="23">
        <f t="shared" si="0"/>
        <v>6.1712961736455282E-2</v>
      </c>
      <c r="I20" s="23">
        <f t="shared" si="1"/>
        <v>0.2443154319394607</v>
      </c>
      <c r="J20" s="23">
        <f t="shared" si="2"/>
        <v>0.39659039359982279</v>
      </c>
      <c r="K20" s="25"/>
      <c r="L20" s="25"/>
    </row>
    <row r="21" spans="1:12" ht="15" x14ac:dyDescent="0.2">
      <c r="A21"/>
    </row>
    <row r="22" spans="1:12" s="9" customFormat="1" ht="15" x14ac:dyDescent="0.2">
      <c r="A22"/>
    </row>
  </sheetData>
  <hyperlinks>
    <hyperlink ref="A1" location="Contenido!A1" display="Contenido" xr:uid="{B9C4AB3B-EA3C-4A96-9439-FCEAD807E8A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C152-BD47-4B10-9F67-24AA12B6133E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8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8.8677579496147132</v>
      </c>
      <c r="C5" s="17">
        <v>7.8359602355437525</v>
      </c>
      <c r="D5" s="17">
        <v>7.445557151335219</v>
      </c>
      <c r="E5" s="17">
        <v>7.0675783792304063</v>
      </c>
      <c r="F5" s="17">
        <v>6.7814281553618718</v>
      </c>
      <c r="G5" s="17">
        <v>6.4184739301110243</v>
      </c>
      <c r="H5" s="23">
        <f>+(C5-B5)/B5</f>
        <v>-0.11635384275636326</v>
      </c>
      <c r="I5" s="23">
        <f>(E5-B5)/B5</f>
        <v>-0.20300278611715164</v>
      </c>
      <c r="J5" s="23">
        <f>(G5-B5)/B5</f>
        <v>-0.27620104579084792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0.83134074545916925</v>
      </c>
      <c r="C6" s="17">
        <v>0.78422707353287247</v>
      </c>
      <c r="D6" s="17">
        <v>0.77279694528457388</v>
      </c>
      <c r="E6" s="17">
        <v>0.76491909749640163</v>
      </c>
      <c r="F6" s="17">
        <v>0.75995502973314666</v>
      </c>
      <c r="G6" s="17">
        <v>0.7494700778035398</v>
      </c>
      <c r="H6" s="23">
        <f t="shared" ref="H6:H20" si="0">+(C6-B6)/B6</f>
        <v>-5.6671914835925409E-2</v>
      </c>
      <c r="I6" s="23">
        <f t="shared" ref="I6:I20" si="1">(E6-B6)/B6</f>
        <v>-7.9897019754615009E-2</v>
      </c>
      <c r="J6" s="23">
        <f t="shared" ref="J6:J20" si="2">(G6-B6)/B6</f>
        <v>-9.8480277915898778E-2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0.60327731821067376</v>
      </c>
      <c r="C7" s="17">
        <v>0.60327731821067376</v>
      </c>
      <c r="D7" s="17">
        <v>0.61232647798383388</v>
      </c>
      <c r="E7" s="17">
        <v>0.62559857898446858</v>
      </c>
      <c r="F7" s="17">
        <v>0.63706084803047147</v>
      </c>
      <c r="G7" s="17">
        <v>0.64791983975826362</v>
      </c>
      <c r="H7" s="23">
        <f t="shared" si="0"/>
        <v>0</v>
      </c>
      <c r="I7" s="23">
        <f t="shared" si="1"/>
        <v>3.6999999999999811E-2</v>
      </c>
      <c r="J7" s="23">
        <f t="shared" si="2"/>
        <v>7.3999999999999996E-2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0.58845144525769166</v>
      </c>
      <c r="C8" s="17">
        <v>0.411916011680384</v>
      </c>
      <c r="D8" s="17">
        <v>0.3882308410087621</v>
      </c>
      <c r="E8" s="17">
        <v>0.36613448923933561</v>
      </c>
      <c r="F8" s="17">
        <v>0.34177259940566734</v>
      </c>
      <c r="G8" s="17">
        <v>0.31599842610338047</v>
      </c>
      <c r="H8" s="23">
        <f t="shared" si="0"/>
        <v>-0.30000000000000027</v>
      </c>
      <c r="I8" s="23">
        <f t="shared" si="1"/>
        <v>-0.37780000000000025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2.5512111582347364E-3</v>
      </c>
      <c r="C9" s="17">
        <v>2.1657063044610335E-3</v>
      </c>
      <c r="D9" s="17">
        <v>2.0025481857377943E-3</v>
      </c>
      <c r="E9" s="17">
        <v>1.8460689043627606E-3</v>
      </c>
      <c r="F9" s="17">
        <v>1.676346169133305E-3</v>
      </c>
      <c r="G9" s="17">
        <v>1.4979041450852355E-3</v>
      </c>
      <c r="H9" s="23">
        <f t="shared" si="0"/>
        <v>-0.15110660382986324</v>
      </c>
      <c r="I9" s="23">
        <f t="shared" si="1"/>
        <v>-0.27639509634313686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7.4681875702587136E-2</v>
      </c>
      <c r="C10" s="17">
        <v>7.3203026678773556E-2</v>
      </c>
      <c r="D10" s="17">
        <v>7.3550556199369718E-2</v>
      </c>
      <c r="E10" s="17">
        <v>7.4377972228193437E-2</v>
      </c>
      <c r="F10" s="17">
        <v>7.4959899319064119E-2</v>
      </c>
      <c r="G10" s="17">
        <v>7.5443482949851162E-2</v>
      </c>
      <c r="H10" s="23">
        <f t="shared" si="0"/>
        <v>-1.9801980198019452E-2</v>
      </c>
      <c r="I10" s="23">
        <f t="shared" si="1"/>
        <v>-4.0693069306931094E-3</v>
      </c>
      <c r="J10" s="23">
        <f t="shared" si="2"/>
        <v>1.019801980198045E-2</v>
      </c>
      <c r="K10" s="25"/>
      <c r="L10" s="25"/>
    </row>
    <row r="11" spans="1:12" ht="18" x14ac:dyDescent="0.15">
      <c r="A11" s="13" t="s">
        <v>38</v>
      </c>
      <c r="B11" s="17">
        <v>6.7502296182654952E-3</v>
      </c>
      <c r="C11" s="17">
        <v>6.3689462107077112E-3</v>
      </c>
      <c r="D11" s="17">
        <v>6.2767788418970341E-3</v>
      </c>
      <c r="E11" s="17">
        <v>6.2135157643993071E-3</v>
      </c>
      <c r="F11" s="17">
        <v>6.1737664763665979E-3</v>
      </c>
      <c r="G11" s="17">
        <v>6.0893152342521746E-3</v>
      </c>
      <c r="H11" s="23">
        <f t="shared" si="0"/>
        <v>-5.6484509286331017E-2</v>
      </c>
      <c r="I11" s="23">
        <f t="shared" si="1"/>
        <v>-7.9510458787044852E-2</v>
      </c>
      <c r="J11" s="23">
        <f t="shared" si="2"/>
        <v>-9.7909911423597729E-2</v>
      </c>
      <c r="K11" s="25"/>
      <c r="L11" s="25"/>
    </row>
    <row r="12" spans="1:12" ht="18" x14ac:dyDescent="0.15">
      <c r="A12" s="13" t="s">
        <v>39</v>
      </c>
      <c r="B12" s="17">
        <v>1.3979624550628194E-2</v>
      </c>
      <c r="C12" s="17">
        <v>2.354195853501672E-2</v>
      </c>
      <c r="D12" s="17">
        <v>3.5851221045663996E-2</v>
      </c>
      <c r="E12" s="17">
        <v>4.8843572692495167E-2</v>
      </c>
      <c r="F12" s="17">
        <v>5.5813268525023704E-2</v>
      </c>
      <c r="G12" s="17">
        <v>6.5949417016209266E-2</v>
      </c>
      <c r="H12" s="23">
        <f t="shared" si="0"/>
        <v>0.6840193704600479</v>
      </c>
      <c r="I12" s="23">
        <f t="shared" si="1"/>
        <v>2.49391162227603</v>
      </c>
      <c r="J12" s="23">
        <f t="shared" si="2"/>
        <v>3.7175384987893501</v>
      </c>
      <c r="K12" s="25"/>
      <c r="L12" s="25"/>
    </row>
    <row r="13" spans="1:12" ht="18" x14ac:dyDescent="0.15">
      <c r="A13" s="13" t="s">
        <v>40</v>
      </c>
      <c r="B13" s="17">
        <v>4.2505951960417142E-2</v>
      </c>
      <c r="C13" s="17">
        <v>4.8173412221806086E-2</v>
      </c>
      <c r="D13" s="17">
        <v>5.656597629221289E-2</v>
      </c>
      <c r="E13" s="17">
        <v>5.9261325934858451E-2</v>
      </c>
      <c r="F13" s="17">
        <v>6.5558913319642823E-2</v>
      </c>
      <c r="G13" s="17">
        <v>7.1368343460579589E-2</v>
      </c>
      <c r="H13" s="23">
        <f t="shared" si="0"/>
        <v>0.13333333333333314</v>
      </c>
      <c r="I13" s="23">
        <f t="shared" si="1"/>
        <v>0.39418888888888859</v>
      </c>
      <c r="J13" s="23">
        <f t="shared" si="2"/>
        <v>0.67901999999999996</v>
      </c>
      <c r="K13" s="25"/>
      <c r="L13" s="25"/>
    </row>
    <row r="14" spans="1:12" ht="18" x14ac:dyDescent="0.15">
      <c r="A14" s="13" t="s">
        <v>41</v>
      </c>
      <c r="B14" s="17">
        <v>1.4948872418790608E-2</v>
      </c>
      <c r="C14" s="17">
        <v>1.3612014102084289E-2</v>
      </c>
      <c r="D14" s="17">
        <v>1.3396562635896362E-2</v>
      </c>
      <c r="E14" s="17">
        <v>1.3285325763634266E-2</v>
      </c>
      <c r="F14" s="17">
        <v>1.2705501441976933E-2</v>
      </c>
      <c r="G14" s="17">
        <v>1.2295469191583806E-2</v>
      </c>
      <c r="H14" s="23">
        <f t="shared" si="0"/>
        <v>-8.9428706009016382E-2</v>
      </c>
      <c r="I14" s="23">
        <f t="shared" si="1"/>
        <v>-0.11128241706480003</v>
      </c>
      <c r="J14" s="23">
        <f t="shared" si="2"/>
        <v>-0.17749855326021088</v>
      </c>
      <c r="K14" s="25"/>
      <c r="L14" s="25"/>
    </row>
    <row r="15" spans="1:12" ht="18" x14ac:dyDescent="0.15">
      <c r="A15" s="13" t="s">
        <v>42</v>
      </c>
      <c r="B15" s="17">
        <v>212.68503736051488</v>
      </c>
      <c r="C15" s="17">
        <v>202.05078549248913</v>
      </c>
      <c r="D15" s="17">
        <v>197.98850127890333</v>
      </c>
      <c r="E15" s="17">
        <v>195.97832384007876</v>
      </c>
      <c r="F15" s="17">
        <v>194.83528684162525</v>
      </c>
      <c r="G15" s="17">
        <v>191.24391230219513</v>
      </c>
      <c r="H15" s="23">
        <f t="shared" si="0"/>
        <v>-5.0000000000000058E-2</v>
      </c>
      <c r="I15" s="23">
        <f t="shared" si="1"/>
        <v>-7.8551428571428675E-2</v>
      </c>
      <c r="J15" s="23">
        <f t="shared" si="2"/>
        <v>-0.10081162889693863</v>
      </c>
      <c r="K15" s="25"/>
      <c r="L15" s="25"/>
    </row>
    <row r="16" spans="1:12" ht="18" x14ac:dyDescent="0.15">
      <c r="A16" s="13" t="s">
        <v>43</v>
      </c>
      <c r="B16" s="17">
        <v>2.9737413692972662E-3</v>
      </c>
      <c r="C16" s="17">
        <v>2.9457566808293884E-3</v>
      </c>
      <c r="D16" s="17">
        <v>2.9600436007314094E-3</v>
      </c>
      <c r="E16" s="17">
        <v>3.021147431561854E-3</v>
      </c>
      <c r="F16" s="17">
        <v>3.054726111966628E-3</v>
      </c>
      <c r="G16" s="17">
        <v>3.0893947223433085E-3</v>
      </c>
      <c r="H16" s="23">
        <f t="shared" si="0"/>
        <v>-9.410599306586942E-3</v>
      </c>
      <c r="I16" s="23">
        <f t="shared" si="1"/>
        <v>1.5941555225359266E-2</v>
      </c>
      <c r="J16" s="23">
        <f t="shared" si="2"/>
        <v>3.8891530460623998E-2</v>
      </c>
      <c r="K16" s="25"/>
      <c r="L16" s="25"/>
    </row>
    <row r="17" spans="1:12" ht="18" x14ac:dyDescent="0.15">
      <c r="A17" s="13" t="s">
        <v>44</v>
      </c>
      <c r="B17" s="17">
        <v>0.17563164118421276</v>
      </c>
      <c r="C17" s="17">
        <v>0.17563164118421276</v>
      </c>
      <c r="D17" s="17">
        <v>0.17826611580197593</v>
      </c>
      <c r="E17" s="17">
        <v>0.18213001190802863</v>
      </c>
      <c r="F17" s="17">
        <v>0.18546701309052868</v>
      </c>
      <c r="G17" s="17">
        <v>0.1886283826318445</v>
      </c>
      <c r="H17" s="23">
        <f t="shared" si="0"/>
        <v>0</v>
      </c>
      <c r="I17" s="23">
        <f t="shared" si="1"/>
        <v>3.6999999999999998E-2</v>
      </c>
      <c r="J17" s="23">
        <f t="shared" si="2"/>
        <v>7.3999999999999996E-2</v>
      </c>
      <c r="K17" s="25"/>
      <c r="L17" s="25"/>
    </row>
    <row r="18" spans="1:12" ht="18" x14ac:dyDescent="0.15">
      <c r="A18" s="13" t="s">
        <v>45</v>
      </c>
      <c r="B18" s="17">
        <v>1.3176657375727823E-2</v>
      </c>
      <c r="C18" s="17">
        <v>1.0223268653581932E-2</v>
      </c>
      <c r="D18" s="17">
        <v>8.8777729068966176E-3</v>
      </c>
      <c r="E18" s="17">
        <v>7.5388654888991699E-3</v>
      </c>
      <c r="F18" s="17">
        <v>6.1176039623034289E-3</v>
      </c>
      <c r="G18" s="17">
        <v>4.6359115587776226E-3</v>
      </c>
      <c r="H18" s="23">
        <f t="shared" si="0"/>
        <v>-0.22413793103448273</v>
      </c>
      <c r="I18" s="23">
        <f t="shared" si="1"/>
        <v>-0.42786206896551754</v>
      </c>
      <c r="J18" s="23">
        <f t="shared" si="2"/>
        <v>-0.64817241379310331</v>
      </c>
      <c r="K18" s="25"/>
      <c r="L18" s="25"/>
    </row>
    <row r="19" spans="1:12" s="9" customFormat="1" x14ac:dyDescent="0.15">
      <c r="A19" s="13" t="s">
        <v>46</v>
      </c>
      <c r="B19" s="17">
        <v>1.4857777682568924E-2</v>
      </c>
      <c r="C19" s="17">
        <v>1.1527586133027614E-2</v>
      </c>
      <c r="D19" s="17">
        <v>1.0010427713630815E-2</v>
      </c>
      <c r="E19" s="17">
        <v>8.5006981830752955E-3</v>
      </c>
      <c r="F19" s="17">
        <v>6.8981075420037289E-3</v>
      </c>
      <c r="G19" s="17">
        <v>5.2273760584569231E-3</v>
      </c>
      <c r="H19" s="23">
        <f t="shared" si="0"/>
        <v>-0.22413793103448271</v>
      </c>
      <c r="I19" s="23">
        <f t="shared" si="1"/>
        <v>-0.42786206896551726</v>
      </c>
      <c r="J19" s="23">
        <f t="shared" si="2"/>
        <v>-0.64817241379310342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0.25381631973231422</v>
      </c>
      <c r="C20" s="17">
        <f t="shared" ref="C20:G20" si="3">C11+C12+C13+C14+C17</f>
        <v>0.26732797225382754</v>
      </c>
      <c r="D20" s="17">
        <f t="shared" si="3"/>
        <v>0.2903566546176462</v>
      </c>
      <c r="E20" s="17">
        <f t="shared" si="3"/>
        <v>0.3097337520634158</v>
      </c>
      <c r="F20" s="17">
        <f t="shared" si="3"/>
        <v>0.32571846285353873</v>
      </c>
      <c r="G20" s="17">
        <f t="shared" si="3"/>
        <v>0.34433092753446937</v>
      </c>
      <c r="H20" s="23">
        <f t="shared" si="0"/>
        <v>5.3233978554898663E-2</v>
      </c>
      <c r="I20" s="23">
        <f t="shared" si="1"/>
        <v>0.22030668630793537</v>
      </c>
      <c r="J20" s="23">
        <f t="shared" si="2"/>
        <v>0.35661460972098169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D110D6CA-1A67-4349-ADE9-E87F4D78A6C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78-699C-404D-9516-66E698A51234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26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9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5.2548226513714651</v>
      </c>
      <c r="C5" s="17">
        <v>4.1829543338841217</v>
      </c>
      <c r="D5" s="17">
        <v>3.7180298507440486</v>
      </c>
      <c r="E5" s="17">
        <v>3.2383109395509737</v>
      </c>
      <c r="F5" s="17">
        <v>2.8658587671453475</v>
      </c>
      <c r="G5" s="17">
        <v>2.4715913563616447</v>
      </c>
      <c r="H5" s="23">
        <f>+(C5-B5)/B5</f>
        <v>-0.20397801954507344</v>
      </c>
      <c r="I5" s="23">
        <f>(E5-B5)/B5</f>
        <v>-0.38374496069704628</v>
      </c>
      <c r="J5" s="23">
        <f>(G5-B5)/B5</f>
        <v>-0.52965275512836196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0.78410797830032219</v>
      </c>
      <c r="C6" s="17">
        <v>0.67303855707304683</v>
      </c>
      <c r="D6" s="17">
        <v>0.62845590018900099</v>
      </c>
      <c r="E6" s="17">
        <v>0.58401735070926042</v>
      </c>
      <c r="F6" s="17">
        <v>0.54997524941777676</v>
      </c>
      <c r="G6" s="17">
        <v>0.50409354707596987</v>
      </c>
      <c r="H6" s="23">
        <f t="shared" ref="H6:H20" si="0">+(C6-B6)/B6</f>
        <v>-0.14165067095482931</v>
      </c>
      <c r="I6" s="23">
        <f t="shared" ref="I6:I20" si="1">(E6-B6)/B6</f>
        <v>-0.25518249160630885</v>
      </c>
      <c r="J6" s="23">
        <f t="shared" ref="J6:J20" si="2">(G6-B6)/B6</f>
        <v>-0.35711208018993479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0.5000731280361066</v>
      </c>
      <c r="C7" s="17">
        <v>0.5000731280361066</v>
      </c>
      <c r="D7" s="17">
        <v>0.50757422495664817</v>
      </c>
      <c r="E7" s="17">
        <v>0.51857583377344252</v>
      </c>
      <c r="F7" s="17">
        <v>0.5280772232061286</v>
      </c>
      <c r="G7" s="17">
        <v>0.53707853951077844</v>
      </c>
      <c r="H7" s="23">
        <f t="shared" si="0"/>
        <v>0</v>
      </c>
      <c r="I7" s="23">
        <f t="shared" si="1"/>
        <v>3.6999999999999957E-2</v>
      </c>
      <c r="J7" s="23">
        <f t="shared" si="2"/>
        <v>7.3999999999999913E-2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0.34956452922309356</v>
      </c>
      <c r="C8" s="17">
        <v>0.24469517045616554</v>
      </c>
      <c r="D8" s="17">
        <v>0.23062519815493598</v>
      </c>
      <c r="E8" s="17">
        <v>0.21749905008260878</v>
      </c>
      <c r="F8" s="17">
        <v>0.2030270785727728</v>
      </c>
      <c r="G8" s="17">
        <v>0.18771615219280127</v>
      </c>
      <c r="H8" s="23">
        <f t="shared" si="0"/>
        <v>-0.29999999999999988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2.6684105160841246E-3</v>
      </c>
      <c r="C9" s="17">
        <v>2.2651960653747587E-3</v>
      </c>
      <c r="D9" s="17">
        <v>2.0945426726203765E-3</v>
      </c>
      <c r="E9" s="17">
        <v>1.9308749344080125E-3</v>
      </c>
      <c r="F9" s="17">
        <v>1.7533553551121106E-3</v>
      </c>
      <c r="G9" s="17">
        <v>1.5667159340887744E-3</v>
      </c>
      <c r="H9" s="23">
        <f t="shared" si="0"/>
        <v>-0.15110660382986368</v>
      </c>
      <c r="I9" s="23">
        <f t="shared" si="1"/>
        <v>-0.27639509634313719</v>
      </c>
      <c r="J9" s="23">
        <f t="shared" si="2"/>
        <v>-0.41286547753982022</v>
      </c>
      <c r="K9" s="25"/>
      <c r="L9" s="25"/>
    </row>
    <row r="10" spans="1:12" ht="18" x14ac:dyDescent="0.15">
      <c r="A10" s="13" t="s">
        <v>37</v>
      </c>
      <c r="B10" s="17">
        <v>4.5965342979873973E-2</v>
      </c>
      <c r="C10" s="17">
        <v>4.5055138168391309E-2</v>
      </c>
      <c r="D10" s="17">
        <v>4.5269036299089724E-2</v>
      </c>
      <c r="E10" s="17">
        <v>4.5778295891114269E-2</v>
      </c>
      <c r="F10" s="17">
        <v>4.6136461484432713E-2</v>
      </c>
      <c r="G10" s="17">
        <v>4.6434098457787537E-2</v>
      </c>
      <c r="H10" s="23">
        <f t="shared" si="0"/>
        <v>-1.9801980198020035E-2</v>
      </c>
      <c r="I10" s="23">
        <f t="shared" si="1"/>
        <v>-4.069306930693471E-3</v>
      </c>
      <c r="J10" s="23">
        <f t="shared" si="2"/>
        <v>1.0198019801980152E-2</v>
      </c>
      <c r="K10" s="25"/>
      <c r="L10" s="25"/>
    </row>
    <row r="11" spans="1:12" ht="18" x14ac:dyDescent="0.15">
      <c r="A11" s="13" t="s">
        <v>38</v>
      </c>
      <c r="B11" s="17">
        <v>5.0521473052942949E-3</v>
      </c>
      <c r="C11" s="17">
        <v>4.4352840563708302E-3</v>
      </c>
      <c r="D11" s="17">
        <v>4.1981384311591654E-3</v>
      </c>
      <c r="E11" s="17">
        <v>3.9666744447794146E-3</v>
      </c>
      <c r="F11" s="17">
        <v>3.7908588240066743E-3</v>
      </c>
      <c r="G11" s="17">
        <v>3.5485904715058195E-3</v>
      </c>
      <c r="H11" s="23">
        <f t="shared" si="0"/>
        <v>-0.12209922071690893</v>
      </c>
      <c r="I11" s="23">
        <f t="shared" si="1"/>
        <v>-0.21485376314688631</v>
      </c>
      <c r="J11" s="23">
        <f t="shared" si="2"/>
        <v>-0.29760748112250285</v>
      </c>
      <c r="K11" s="25"/>
      <c r="L11" s="25"/>
    </row>
    <row r="12" spans="1:12" ht="18" x14ac:dyDescent="0.15">
      <c r="A12" s="13" t="s">
        <v>39</v>
      </c>
      <c r="B12" s="17">
        <v>1.4953415793215658E-2</v>
      </c>
      <c r="C12" s="17">
        <v>2.5181841850318378E-2</v>
      </c>
      <c r="D12" s="17">
        <v>3.8348541697152176E-2</v>
      </c>
      <c r="E12" s="17">
        <v>5.2245913232642112E-2</v>
      </c>
      <c r="F12" s="17">
        <v>5.9701103417371247E-2</v>
      </c>
      <c r="G12" s="17">
        <v>7.0543314692899511E-2</v>
      </c>
      <c r="H12" s="23">
        <f t="shared" si="0"/>
        <v>0.68401937046004846</v>
      </c>
      <c r="I12" s="23">
        <f t="shared" si="1"/>
        <v>2.4939116222760291</v>
      </c>
      <c r="J12" s="23">
        <f t="shared" si="2"/>
        <v>3.7175384987893474</v>
      </c>
      <c r="K12" s="25"/>
      <c r="L12" s="25"/>
    </row>
    <row r="13" spans="1:12" ht="18" x14ac:dyDescent="0.15">
      <c r="A13" s="13" t="s">
        <v>40</v>
      </c>
      <c r="B13" s="17">
        <v>5.8234846338591398E-2</v>
      </c>
      <c r="C13" s="17">
        <v>6.5999492517070255E-2</v>
      </c>
      <c r="D13" s="17">
        <v>7.7497639399701015E-2</v>
      </c>
      <c r="E13" s="17">
        <v>8.1190375711415935E-2</v>
      </c>
      <c r="F13" s="17">
        <v>8.9818321134171958E-2</v>
      </c>
      <c r="G13" s="17">
        <v>9.7777471699421747E-2</v>
      </c>
      <c r="H13" s="23">
        <f t="shared" si="0"/>
        <v>0.13333333333333339</v>
      </c>
      <c r="I13" s="23">
        <f t="shared" si="1"/>
        <v>0.39418888888888914</v>
      </c>
      <c r="J13" s="23">
        <f t="shared" si="2"/>
        <v>0.67902000000000029</v>
      </c>
      <c r="K13" s="25"/>
      <c r="L13" s="25"/>
    </row>
    <row r="14" spans="1:12" ht="18" x14ac:dyDescent="0.15">
      <c r="A14" s="13" t="s">
        <v>41</v>
      </c>
      <c r="B14" s="17">
        <v>1.5406103250767918E-2</v>
      </c>
      <c r="C14" s="17">
        <v>1.4028355372410437E-2</v>
      </c>
      <c r="D14" s="17">
        <v>1.3806314041089144E-2</v>
      </c>
      <c r="E14" s="17">
        <v>1.3691674843472581E-2</v>
      </c>
      <c r="F14" s="17">
        <v>1.3094115835909526E-2</v>
      </c>
      <c r="G14" s="17">
        <v>1.2671542212379178E-2</v>
      </c>
      <c r="H14" s="23">
        <f t="shared" si="0"/>
        <v>-8.9428706009016715E-2</v>
      </c>
      <c r="I14" s="23">
        <f t="shared" si="1"/>
        <v>-0.11128241706480067</v>
      </c>
      <c r="J14" s="23">
        <f t="shared" si="2"/>
        <v>-0.17749855326021105</v>
      </c>
      <c r="K14" s="25"/>
      <c r="L14" s="25"/>
    </row>
    <row r="15" spans="1:12" ht="18" x14ac:dyDescent="0.15">
      <c r="A15" s="13" t="s">
        <v>42</v>
      </c>
      <c r="B15" s="17">
        <v>121.54614431397182</v>
      </c>
      <c r="C15" s="17">
        <v>115.46883709827321</v>
      </c>
      <c r="D15" s="17">
        <v>113.14730574187635</v>
      </c>
      <c r="E15" s="17">
        <v>111.99852104076031</v>
      </c>
      <c r="F15" s="17">
        <v>111.49772084544064</v>
      </c>
      <c r="G15" s="17">
        <v>109.44249726484614</v>
      </c>
      <c r="H15" s="23">
        <f t="shared" si="0"/>
        <v>-5.0000000000000155E-2</v>
      </c>
      <c r="I15" s="23">
        <f t="shared" si="1"/>
        <v>-7.8551428571428633E-2</v>
      </c>
      <c r="J15" s="23">
        <f t="shared" si="2"/>
        <v>-9.9580674627244098E-2</v>
      </c>
      <c r="K15" s="25"/>
      <c r="L15" s="25"/>
    </row>
    <row r="16" spans="1:12" ht="18" x14ac:dyDescent="0.15">
      <c r="A16" s="13" t="s">
        <v>43</v>
      </c>
      <c r="B16" s="17">
        <v>2.3618960163344603E-3</v>
      </c>
      <c r="C16" s="17">
        <v>2.3396691593209101E-3</v>
      </c>
      <c r="D16" s="17">
        <v>2.3510165547436165E-3</v>
      </c>
      <c r="E16" s="17">
        <v>2.3995483121154108E-3</v>
      </c>
      <c r="F16" s="17">
        <v>2.4262182008625097E-3</v>
      </c>
      <c r="G16" s="17">
        <v>2.4537537671985581E-3</v>
      </c>
      <c r="H16" s="23">
        <f t="shared" si="0"/>
        <v>-9.4105993065880539E-3</v>
      </c>
      <c r="I16" s="23">
        <f t="shared" si="1"/>
        <v>1.59415552253587E-2</v>
      </c>
      <c r="J16" s="23">
        <f t="shared" si="2"/>
        <v>3.8891530460623845E-2</v>
      </c>
      <c r="K16" s="25"/>
      <c r="L16" s="25"/>
    </row>
    <row r="17" spans="1:12" ht="18" x14ac:dyDescent="0.15">
      <c r="A17" s="13" t="s">
        <v>44</v>
      </c>
      <c r="B17" s="17">
        <v>0.2023226879321588</v>
      </c>
      <c r="C17" s="17">
        <v>0.2023226879321588</v>
      </c>
      <c r="D17" s="17">
        <v>0.20535752825114112</v>
      </c>
      <c r="E17" s="17">
        <v>0.20980862738564862</v>
      </c>
      <c r="F17" s="17">
        <v>0.21365275845635967</v>
      </c>
      <c r="G17" s="17">
        <v>0.21729456683913856</v>
      </c>
      <c r="H17" s="23">
        <f t="shared" si="0"/>
        <v>0</v>
      </c>
      <c r="I17" s="23">
        <f t="shared" si="1"/>
        <v>3.6999999999999755E-2</v>
      </c>
      <c r="J17" s="23">
        <f t="shared" si="2"/>
        <v>7.4000000000000066E-2</v>
      </c>
      <c r="K17" s="25"/>
      <c r="L17" s="25"/>
    </row>
    <row r="18" spans="1:12" ht="18" x14ac:dyDescent="0.15">
      <c r="A18" s="13" t="s">
        <v>45</v>
      </c>
      <c r="B18" s="17">
        <v>8.8583589554544293E-3</v>
      </c>
      <c r="C18" s="17">
        <v>6.8728647068180913E-3</v>
      </c>
      <c r="D18" s="17">
        <v>5.968319346237423E-3</v>
      </c>
      <c r="E18" s="17">
        <v>5.0682031651344802E-3</v>
      </c>
      <c r="F18" s="17">
        <v>4.1127222405599488E-3</v>
      </c>
      <c r="G18" s="17">
        <v>3.1166150490517792E-3</v>
      </c>
      <c r="H18" s="23">
        <f t="shared" si="0"/>
        <v>-0.22413793103448282</v>
      </c>
      <c r="I18" s="23">
        <f t="shared" si="1"/>
        <v>-0.42786206896551709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3.8127509937508117E-2</v>
      </c>
      <c r="C19" s="17">
        <v>2.9581688744618358E-2</v>
      </c>
      <c r="D19" s="17">
        <v>2.5688409820396097E-2</v>
      </c>
      <c r="E19" s="17">
        <v>2.1814194651142569E-2</v>
      </c>
      <c r="F19" s="17">
        <v>1.7701682544779634E-2</v>
      </c>
      <c r="G19" s="17">
        <v>1.3414309789392951E-2</v>
      </c>
      <c r="H19" s="23">
        <f t="shared" si="0"/>
        <v>-0.22413793103448296</v>
      </c>
      <c r="I19" s="23">
        <f t="shared" si="1"/>
        <v>-0.42786206896551737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0.29596920062002807</v>
      </c>
      <c r="C20" s="17">
        <f t="shared" ref="C20:G20" si="3">C11+C12+C13+C14+C17</f>
        <v>0.31196766172832868</v>
      </c>
      <c r="D20" s="17">
        <f t="shared" si="3"/>
        <v>0.3392081618202426</v>
      </c>
      <c r="E20" s="17">
        <f t="shared" si="3"/>
        <v>0.36090326561795866</v>
      </c>
      <c r="F20" s="17">
        <f t="shared" si="3"/>
        <v>0.38005715766781906</v>
      </c>
      <c r="G20" s="17">
        <f t="shared" si="3"/>
        <v>0.40183548591534479</v>
      </c>
      <c r="H20" s="23">
        <f t="shared" si="0"/>
        <v>5.4054479570121876E-2</v>
      </c>
      <c r="I20" s="23">
        <f t="shared" si="1"/>
        <v>0.21939466965447665</v>
      </c>
      <c r="J20" s="23">
        <f t="shared" si="2"/>
        <v>0.3576935879596142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C0E8D5E9-5694-49CA-9234-B7AEAFEA88F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1F7F7-4D7B-4B3A-A1CB-806052B94B67}">
  <sheetPr>
    <tabColor rgb="FFD18316"/>
  </sheetPr>
  <dimension ref="A1:L21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10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8.8086420966367083</v>
      </c>
      <c r="C5" s="17">
        <v>8.1537689020549351</v>
      </c>
      <c r="D5" s="17">
        <v>7.9536886779152187</v>
      </c>
      <c r="E5" s="17">
        <v>7.7837565217045093</v>
      </c>
      <c r="F5" s="17">
        <v>7.6625661049307467</v>
      </c>
      <c r="G5" s="17">
        <v>7.4673830738585192</v>
      </c>
      <c r="H5" s="23">
        <f>+(C5-B5)/B5</f>
        <v>-7.4344398080586682E-2</v>
      </c>
      <c r="I5" s="23">
        <f>(E5-B5)/B5</f>
        <v>-0.11635000760486319</v>
      </c>
      <c r="J5" s="23">
        <f>(G5-B5)/B5</f>
        <v>-0.15226626397845192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0.88534468877994621</v>
      </c>
      <c r="C6" s="17">
        <v>0.83958088799822539</v>
      </c>
      <c r="D6" s="17">
        <v>0.82964559345107725</v>
      </c>
      <c r="E6" s="17">
        <v>0.82370556261965289</v>
      </c>
      <c r="F6" s="17">
        <v>0.82036235905139832</v>
      </c>
      <c r="G6" s="17">
        <v>0.81157862920701695</v>
      </c>
      <c r="H6" s="23">
        <f t="shared" ref="H6:H20" si="0">+(C6-B6)/B6</f>
        <v>-5.1690377049401923E-2</v>
      </c>
      <c r="I6" s="23">
        <f t="shared" ref="I6:I20" si="1">(E6-B6)/B6</f>
        <v>-6.9621613978658903E-2</v>
      </c>
      <c r="J6" s="23">
        <f t="shared" ref="J6:J20" si="2">(G6-B6)/B6</f>
        <v>-8.3319028744141391E-2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0.37309226563827491</v>
      </c>
      <c r="C7" s="17">
        <v>0.37309226563827491</v>
      </c>
      <c r="D7" s="17">
        <v>0.37868864962284909</v>
      </c>
      <c r="E7" s="17">
        <v>0.38689667946689105</v>
      </c>
      <c r="F7" s="17">
        <v>0.39398543251401841</v>
      </c>
      <c r="G7" s="17">
        <v>0.40070109329550735</v>
      </c>
      <c r="H7" s="23">
        <f t="shared" si="0"/>
        <v>0</v>
      </c>
      <c r="I7" s="23">
        <f t="shared" si="1"/>
        <v>3.6999999999999901E-2</v>
      </c>
      <c r="J7" s="23">
        <f t="shared" si="2"/>
        <v>7.4000000000000246E-2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0.54524406045524676</v>
      </c>
      <c r="C8" s="17">
        <v>0.38167084231867277</v>
      </c>
      <c r="D8" s="17">
        <v>0.35972476888534899</v>
      </c>
      <c r="E8" s="17">
        <v>0.33925085441525449</v>
      </c>
      <c r="F8" s="17">
        <v>0.31667775031240736</v>
      </c>
      <c r="G8" s="17">
        <v>0.29279606046446754</v>
      </c>
      <c r="H8" s="23">
        <f t="shared" si="0"/>
        <v>-0.29999999999999993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2.8845330882982427E-3</v>
      </c>
      <c r="C9" s="17">
        <v>2.4486610896906282E-3</v>
      </c>
      <c r="D9" s="17">
        <v>2.2641859667426223E-3</v>
      </c>
      <c r="E9" s="17">
        <v>2.0872622874530834E-3</v>
      </c>
      <c r="F9" s="17">
        <v>1.8953648649188406E-3</v>
      </c>
      <c r="G9" s="17">
        <v>1.6936089573185776E-3</v>
      </c>
      <c r="H9" s="23">
        <f t="shared" si="0"/>
        <v>-0.15110660382986327</v>
      </c>
      <c r="I9" s="23">
        <f t="shared" si="1"/>
        <v>-0.27639509634313703</v>
      </c>
      <c r="J9" s="23">
        <f t="shared" si="2"/>
        <v>-0.41286547753981978</v>
      </c>
      <c r="K9" s="25"/>
      <c r="L9" s="25"/>
    </row>
    <row r="10" spans="1:12" ht="18" x14ac:dyDescent="0.15">
      <c r="A10" s="13" t="s">
        <v>37</v>
      </c>
      <c r="B10" s="17">
        <v>6.5248216530640543E-2</v>
      </c>
      <c r="C10" s="17">
        <v>6.3956172638944681E-2</v>
      </c>
      <c r="D10" s="17">
        <v>6.4259802953493192E-2</v>
      </c>
      <c r="E10" s="17">
        <v>6.4982701510897023E-2</v>
      </c>
      <c r="F10" s="17">
        <v>6.5491120782279352E-2</v>
      </c>
      <c r="G10" s="17">
        <v>6.5913619134863904E-2</v>
      </c>
      <c r="H10" s="23">
        <f t="shared" si="0"/>
        <v>-1.9801980198019958E-2</v>
      </c>
      <c r="I10" s="23">
        <f t="shared" si="1"/>
        <v>-4.0693069306934147E-3</v>
      </c>
      <c r="J10" s="23">
        <f t="shared" si="2"/>
        <v>1.0198019801980157E-2</v>
      </c>
      <c r="K10" s="25"/>
      <c r="L10" s="25"/>
    </row>
    <row r="11" spans="1:12" ht="18" x14ac:dyDescent="0.15">
      <c r="A11" s="13" t="s">
        <v>38</v>
      </c>
      <c r="B11" s="17">
        <v>7.2254768108122435E-3</v>
      </c>
      <c r="C11" s="17">
        <v>6.8549769033630125E-3</v>
      </c>
      <c r="D11" s="17">
        <v>6.7754085915759845E-3</v>
      </c>
      <c r="E11" s="17">
        <v>6.728590202299648E-3</v>
      </c>
      <c r="F11" s="17">
        <v>6.7026221090249315E-3</v>
      </c>
      <c r="G11" s="17">
        <v>6.6325501694050153E-3</v>
      </c>
      <c r="H11" s="23">
        <f t="shared" si="0"/>
        <v>-5.1276880010854495E-2</v>
      </c>
      <c r="I11" s="23">
        <f t="shared" si="1"/>
        <v>-6.8768694651272236E-2</v>
      </c>
      <c r="J11" s="23">
        <f t="shared" si="2"/>
        <v>-8.2060555577449165E-2</v>
      </c>
      <c r="K11" s="25"/>
      <c r="L11" s="25"/>
    </row>
    <row r="12" spans="1:12" ht="18" x14ac:dyDescent="0.15">
      <c r="A12" s="13" t="s">
        <v>39</v>
      </c>
      <c r="B12" s="17">
        <v>1.4744880922443002E-2</v>
      </c>
      <c r="C12" s="17">
        <v>2.4830665088520838E-2</v>
      </c>
      <c r="D12" s="17">
        <v>3.7813746952077017E-2</v>
      </c>
      <c r="E12" s="17">
        <v>5.1517310823999685E-2</v>
      </c>
      <c r="F12" s="17">
        <v>5.8868533651487052E-2</v>
      </c>
      <c r="G12" s="17">
        <v>6.955954341168942E-2</v>
      </c>
      <c r="H12" s="23">
        <f t="shared" si="0"/>
        <v>0.68401937046004813</v>
      </c>
      <c r="I12" s="23">
        <f t="shared" si="1"/>
        <v>2.4939116222760283</v>
      </c>
      <c r="J12" s="23">
        <f t="shared" si="2"/>
        <v>3.7175384987893456</v>
      </c>
      <c r="K12" s="25"/>
      <c r="L12" s="25"/>
    </row>
    <row r="13" spans="1:12" ht="18" x14ac:dyDescent="0.15">
      <c r="A13" s="13" t="s">
        <v>40</v>
      </c>
      <c r="B13" s="17">
        <v>5.4946177399127549E-2</v>
      </c>
      <c r="C13" s="17">
        <v>6.2272334385677877E-2</v>
      </c>
      <c r="D13" s="17">
        <v>7.3121151856594513E-2</v>
      </c>
      <c r="E13" s="17">
        <v>7.6605350016781426E-2</v>
      </c>
      <c r="F13" s="17">
        <v>8.4746053557619716E-2</v>
      </c>
      <c r="G13" s="17">
        <v>9.2255730776683142E-2</v>
      </c>
      <c r="H13" s="23">
        <f t="shared" si="0"/>
        <v>0.13333333333333311</v>
      </c>
      <c r="I13" s="23">
        <f t="shared" si="1"/>
        <v>0.39418888888888903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2.2069190869591596E-2</v>
      </c>
      <c r="C14" s="17">
        <v>2.0095571687458014E-2</v>
      </c>
      <c r="D14" s="17">
        <v>1.9777498230328379E-2</v>
      </c>
      <c r="E14" s="17">
        <v>1.9613277966959022E-2</v>
      </c>
      <c r="F14" s="17">
        <v>1.8757276706997606E-2</v>
      </c>
      <c r="G14" s="17">
        <v>1.8151941418615626E-2</v>
      </c>
      <c r="H14" s="23">
        <f t="shared" si="0"/>
        <v>-8.9428706009016673E-2</v>
      </c>
      <c r="I14" s="23">
        <f t="shared" si="1"/>
        <v>-0.11128241706480026</v>
      </c>
      <c r="J14" s="23">
        <f t="shared" si="2"/>
        <v>-0.17749855326021116</v>
      </c>
      <c r="K14" s="25"/>
      <c r="L14" s="25"/>
    </row>
    <row r="15" spans="1:12" ht="18" x14ac:dyDescent="0.15">
      <c r="A15" s="13" t="s">
        <v>42</v>
      </c>
      <c r="B15" s="17">
        <v>229.75452032504447</v>
      </c>
      <c r="C15" s="17">
        <v>218.26679430879224</v>
      </c>
      <c r="D15" s="17">
        <v>213.87848297058383</v>
      </c>
      <c r="E15" s="17">
        <v>211.70697453276881</v>
      </c>
      <c r="F15" s="17">
        <v>210.70733414165099</v>
      </c>
      <c r="G15" s="17">
        <v>206.82339213415099</v>
      </c>
      <c r="H15" s="23">
        <f t="shared" si="0"/>
        <v>-0.05</v>
      </c>
      <c r="I15" s="23">
        <f t="shared" si="1"/>
        <v>-7.8551428571428966E-2</v>
      </c>
      <c r="J15" s="23">
        <f t="shared" si="2"/>
        <v>-9.9807081742947792E-2</v>
      </c>
      <c r="K15" s="25"/>
      <c r="L15" s="25"/>
    </row>
    <row r="16" spans="1:12" ht="18" x14ac:dyDescent="0.15">
      <c r="A16" s="13" t="s">
        <v>43</v>
      </c>
      <c r="B16" s="17">
        <v>8.6257038693719323E-3</v>
      </c>
      <c r="C16" s="17">
        <v>8.5445308265199894E-3</v>
      </c>
      <c r="D16" s="17">
        <v>8.5859718010286093E-3</v>
      </c>
      <c r="E16" s="17">
        <v>8.7632110039631162E-3</v>
      </c>
      <c r="F16" s="17">
        <v>8.8606101108546186E-3</v>
      </c>
      <c r="G16" s="17">
        <v>8.9611706941519331E-3</v>
      </c>
      <c r="H16" s="23">
        <f t="shared" si="0"/>
        <v>-9.4105993065877573E-3</v>
      </c>
      <c r="I16" s="23">
        <f t="shared" si="1"/>
        <v>1.5941555225358821E-2</v>
      </c>
      <c r="J16" s="23">
        <f t="shared" si="2"/>
        <v>3.8891530460623998E-2</v>
      </c>
      <c r="K16" s="25"/>
      <c r="L16" s="25"/>
    </row>
    <row r="17" spans="1:12" ht="18" x14ac:dyDescent="0.15">
      <c r="A17" s="13" t="s">
        <v>44</v>
      </c>
      <c r="B17" s="17">
        <v>0.20346508781305295</v>
      </c>
      <c r="C17" s="17">
        <v>0.20346508781305295</v>
      </c>
      <c r="D17" s="17">
        <v>0.20651706413024873</v>
      </c>
      <c r="E17" s="17">
        <v>0.2109932960621359</v>
      </c>
      <c r="F17" s="17">
        <v>0.21485913273058391</v>
      </c>
      <c r="G17" s="17">
        <v>0.21852150431121889</v>
      </c>
      <c r="H17" s="23">
        <f t="shared" si="0"/>
        <v>0</v>
      </c>
      <c r="I17" s="23">
        <f t="shared" si="1"/>
        <v>3.6999999999999991E-2</v>
      </c>
      <c r="J17" s="23">
        <f t="shared" si="2"/>
        <v>7.4000000000000121E-2</v>
      </c>
      <c r="K17" s="25"/>
      <c r="L17" s="25"/>
    </row>
    <row r="18" spans="1:12" ht="18" x14ac:dyDescent="0.15">
      <c r="A18" s="13" t="s">
        <v>45</v>
      </c>
      <c r="B18" s="17">
        <v>1.6273781233386693E-2</v>
      </c>
      <c r="C18" s="17">
        <v>1.2626209577627608E-2</v>
      </c>
      <c r="D18" s="17">
        <v>1.096446010599429E-2</v>
      </c>
      <c r="E18" s="17">
        <v>9.3108475249776539E-3</v>
      </c>
      <c r="F18" s="17">
        <v>7.5555238112523602E-3</v>
      </c>
      <c r="G18" s="17">
        <v>5.7255651698015358E-3</v>
      </c>
      <c r="H18" s="23">
        <f t="shared" si="0"/>
        <v>-0.22413793103448265</v>
      </c>
      <c r="I18" s="23">
        <f t="shared" si="1"/>
        <v>-0.42786206896551732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3.2302500251163269E-2</v>
      </c>
      <c r="C19" s="17">
        <v>2.5062284677626678E-2</v>
      </c>
      <c r="D19" s="17">
        <v>2.1763809544221257E-2</v>
      </c>
      <c r="E19" s="17">
        <v>1.8481485660941415E-2</v>
      </c>
      <c r="F19" s="17">
        <v>1.4997271151091807E-2</v>
      </c>
      <c r="G19" s="17">
        <v>1.1364910691814452E-2</v>
      </c>
      <c r="H19" s="23">
        <f t="shared" si="0"/>
        <v>-0.22413793103448265</v>
      </c>
      <c r="I19" s="23">
        <f t="shared" si="1"/>
        <v>-0.42786206896551715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0.30245081381502736</v>
      </c>
      <c r="C20" s="17">
        <f t="shared" ref="C20:G20" si="3">C11+C12+C13+C14+C17</f>
        <v>0.31751863587807272</v>
      </c>
      <c r="D20" s="17">
        <f t="shared" si="3"/>
        <v>0.34400486976082462</v>
      </c>
      <c r="E20" s="17">
        <f t="shared" si="3"/>
        <v>0.36545782507217572</v>
      </c>
      <c r="F20" s="17">
        <f t="shared" si="3"/>
        <v>0.38393361875571319</v>
      </c>
      <c r="G20" s="17">
        <f t="shared" si="3"/>
        <v>0.40512127008761212</v>
      </c>
      <c r="H20" s="23">
        <f t="shared" si="0"/>
        <v>4.9819082557537843E-2</v>
      </c>
      <c r="I20" s="23">
        <f t="shared" si="1"/>
        <v>0.20832151338062571</v>
      </c>
      <c r="J20" s="23">
        <f t="shared" si="2"/>
        <v>0.33946166312971426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6106CCAC-85D3-4A58-8C19-CA66F038BC4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EA0D9-406D-4699-ABA1-7CB4A52D50F8}">
  <sheetPr>
    <tabColor rgb="FFD18316"/>
  </sheetPr>
  <dimension ref="A1:L23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11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4.7124164620890161</v>
      </c>
      <c r="C5" s="17">
        <v>4.1206762624529345</v>
      </c>
      <c r="D5" s="17">
        <v>3.8911793168304629</v>
      </c>
      <c r="E5" s="17">
        <v>3.6661948125309709</v>
      </c>
      <c r="F5" s="17">
        <v>3.4949941921140661</v>
      </c>
      <c r="G5" s="17">
        <v>3.2864944034450434</v>
      </c>
      <c r="H5" s="23">
        <f>+(C5-B5)/B5</f>
        <v>-0.12557043809616159</v>
      </c>
      <c r="I5" s="23">
        <f>(E5-B5)/B5</f>
        <v>-0.22201383472254799</v>
      </c>
      <c r="J5" s="23">
        <f>(G5-B5)/B5</f>
        <v>-0.30258829416190031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0.79629999195442713</v>
      </c>
      <c r="C6" s="17">
        <v>0.72397863577259747</v>
      </c>
      <c r="D6" s="17">
        <v>0.69923531961062746</v>
      </c>
      <c r="E6" s="17">
        <v>0.6765860076153053</v>
      </c>
      <c r="F6" s="17">
        <v>0.65984898673174852</v>
      </c>
      <c r="G6" s="17">
        <v>0.63511703059377833</v>
      </c>
      <c r="H6" s="23">
        <f t="shared" ref="H6:H20" si="0">+(C6-B6)/B6</f>
        <v>-9.0821746719254859E-2</v>
      </c>
      <c r="I6" s="23">
        <f t="shared" ref="I6:I20" si="1">(E6-B6)/B6</f>
        <v>-0.15033779423417745</v>
      </c>
      <c r="J6" s="23">
        <f t="shared" ref="J6:J20" si="2">(G6-B6)/B6</f>
        <v>-0.20241487252190432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0.36434039980145738</v>
      </c>
      <c r="C7" s="17">
        <v>0.36434039980145738</v>
      </c>
      <c r="D7" s="17">
        <v>0.36980550579847921</v>
      </c>
      <c r="E7" s="17">
        <v>0.37782099459411128</v>
      </c>
      <c r="F7" s="17">
        <v>0.384743462190339</v>
      </c>
      <c r="G7" s="17">
        <v>0.39130158938676529</v>
      </c>
      <c r="H7" s="23">
        <f t="shared" si="0"/>
        <v>0</v>
      </c>
      <c r="I7" s="23">
        <f t="shared" si="1"/>
        <v>3.6999999999999936E-2</v>
      </c>
      <c r="J7" s="23">
        <f t="shared" si="2"/>
        <v>7.4000000000000177E-2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0.34356473890408318</v>
      </c>
      <c r="C8" s="17">
        <v>0.24049531723285816</v>
      </c>
      <c r="D8" s="17">
        <v>0.22666683649196884</v>
      </c>
      <c r="E8" s="17">
        <v>0.21376598054612048</v>
      </c>
      <c r="F8" s="17">
        <v>0.19954240035549145</v>
      </c>
      <c r="G8" s="17">
        <v>0.1844942647914927</v>
      </c>
      <c r="H8" s="23">
        <f t="shared" si="0"/>
        <v>-0.30000000000000016</v>
      </c>
      <c r="I8" s="23">
        <f t="shared" si="1"/>
        <v>-0.37780000000000025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2.1543498811899113E-3</v>
      </c>
      <c r="C9" s="17">
        <v>1.8288133871820344E-3</v>
      </c>
      <c r="D9" s="17">
        <v>1.6910358172807672E-3</v>
      </c>
      <c r="E9" s="17">
        <v>1.5588981382216008E-3</v>
      </c>
      <c r="F9" s="17">
        <v>1.4155771303557508E-3</v>
      </c>
      <c r="G9" s="17">
        <v>1.2648931887045847E-3</v>
      </c>
      <c r="H9" s="23">
        <f t="shared" si="0"/>
        <v>-0.15110660382986327</v>
      </c>
      <c r="I9" s="23">
        <f t="shared" si="1"/>
        <v>-0.27639509634313664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6.8991619400795304E-2</v>
      </c>
      <c r="C10" s="17">
        <v>6.7625448719591433E-2</v>
      </c>
      <c r="D10" s="17">
        <v>6.7946498829674323E-2</v>
      </c>
      <c r="E10" s="17">
        <v>6.8710871325807873E-2</v>
      </c>
      <c r="F10" s="17">
        <v>6.924845948886163E-2</v>
      </c>
      <c r="G10" s="17">
        <v>6.9695197301615303E-2</v>
      </c>
      <c r="H10" s="23">
        <f t="shared" si="0"/>
        <v>-1.9801980198019854E-2</v>
      </c>
      <c r="I10" s="23">
        <f t="shared" si="1"/>
        <v>-4.0693069306935838E-3</v>
      </c>
      <c r="J10" s="23">
        <f t="shared" si="2"/>
        <v>1.0198019801980301E-2</v>
      </c>
      <c r="K10" s="25"/>
      <c r="L10" s="25"/>
    </row>
    <row r="11" spans="1:12" ht="18" x14ac:dyDescent="0.15">
      <c r="A11" s="13" t="s">
        <v>38</v>
      </c>
      <c r="B11" s="17">
        <v>3.8908677371098416E-3</v>
      </c>
      <c r="C11" s="17">
        <v>3.4225504409497983E-3</v>
      </c>
      <c r="D11" s="17">
        <v>3.2433413245470544E-3</v>
      </c>
      <c r="E11" s="17">
        <v>3.0688329050556182E-3</v>
      </c>
      <c r="F11" s="17">
        <v>2.9364062858971075E-3</v>
      </c>
      <c r="G11" s="17">
        <v>2.7534740011030492E-3</v>
      </c>
      <c r="H11" s="23">
        <f t="shared" si="0"/>
        <v>-0.1203632011680541</v>
      </c>
      <c r="I11" s="23">
        <f t="shared" si="1"/>
        <v>-0.21127287988073207</v>
      </c>
      <c r="J11" s="23">
        <f t="shared" si="2"/>
        <v>-0.29232392691190651</v>
      </c>
      <c r="K11" s="25"/>
      <c r="L11" s="25"/>
    </row>
    <row r="12" spans="1:12" ht="18" x14ac:dyDescent="0.15">
      <c r="A12" s="13" t="s">
        <v>39</v>
      </c>
      <c r="B12" s="17">
        <v>1.0886280961761249E-2</v>
      </c>
      <c r="C12" s="17">
        <v>1.8332708011876392E-2</v>
      </c>
      <c r="D12" s="17">
        <v>2.7918236552910005E-2</v>
      </c>
      <c r="E12" s="17">
        <v>3.8035703575659885E-2</v>
      </c>
      <c r="F12" s="17">
        <v>4.3463178882749816E-2</v>
      </c>
      <c r="G12" s="17">
        <v>5.1356449545746218E-2</v>
      </c>
      <c r="H12" s="23">
        <f t="shared" si="0"/>
        <v>0.68401937046004868</v>
      </c>
      <c r="I12" s="23">
        <f t="shared" si="1"/>
        <v>2.4939116222760283</v>
      </c>
      <c r="J12" s="23">
        <f t="shared" si="2"/>
        <v>3.7175384987893478</v>
      </c>
      <c r="K12" s="25"/>
      <c r="L12" s="25"/>
    </row>
    <row r="13" spans="1:12" ht="18" x14ac:dyDescent="0.15">
      <c r="A13" s="13" t="s">
        <v>40</v>
      </c>
      <c r="B13" s="17">
        <v>4.2959165412096469E-2</v>
      </c>
      <c r="C13" s="17">
        <v>4.8687054133709336E-2</v>
      </c>
      <c r="D13" s="17">
        <v>5.7169102682297704E-2</v>
      </c>
      <c r="E13" s="17">
        <v>5.9893191093484746E-2</v>
      </c>
      <c r="F13" s="17">
        <v>6.6257925576128932E-2</v>
      </c>
      <c r="G13" s="17">
        <v>7.2129297910218215E-2</v>
      </c>
      <c r="H13" s="23">
        <f t="shared" si="0"/>
        <v>0.13333333333333344</v>
      </c>
      <c r="I13" s="23">
        <f t="shared" si="1"/>
        <v>0.39418888888888853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1.156459188342527E-2</v>
      </c>
      <c r="C14" s="17">
        <v>1.0530385395768173E-2</v>
      </c>
      <c r="D14" s="17">
        <v>1.0363710063519237E-2</v>
      </c>
      <c r="E14" s="17">
        <v>1.0277656146269737E-2</v>
      </c>
      <c r="F14" s="17">
        <v>9.829098458693097E-3</v>
      </c>
      <c r="G14" s="17">
        <v>9.5118935550725075E-3</v>
      </c>
      <c r="H14" s="23">
        <f t="shared" si="0"/>
        <v>-8.9428706009016451E-2</v>
      </c>
      <c r="I14" s="23">
        <f t="shared" si="1"/>
        <v>-0.11128241706480003</v>
      </c>
      <c r="J14" s="23">
        <f t="shared" si="2"/>
        <v>-0.17749855326021083</v>
      </c>
      <c r="K14" s="25"/>
      <c r="L14" s="25"/>
    </row>
    <row r="15" spans="1:12" ht="18" x14ac:dyDescent="0.15">
      <c r="A15" s="13" t="s">
        <v>42</v>
      </c>
      <c r="B15" s="17">
        <v>180.65810091991631</v>
      </c>
      <c r="C15" s="17">
        <v>171.62519587392043</v>
      </c>
      <c r="D15" s="17">
        <v>168.17462614635005</v>
      </c>
      <c r="E15" s="17">
        <v>166.46714900965549</v>
      </c>
      <c r="F15" s="17">
        <v>165.73992016603276</v>
      </c>
      <c r="G15" s="17">
        <v>162.68485689130213</v>
      </c>
      <c r="H15" s="23">
        <f t="shared" si="0"/>
        <v>-5.0000000000000329E-2</v>
      </c>
      <c r="I15" s="23">
        <f t="shared" si="1"/>
        <v>-7.8551428571429022E-2</v>
      </c>
      <c r="J15" s="23">
        <f t="shared" si="2"/>
        <v>-9.9487617422600441E-2</v>
      </c>
      <c r="K15" s="25"/>
      <c r="L15" s="25"/>
    </row>
    <row r="16" spans="1:12" ht="18" x14ac:dyDescent="0.15">
      <c r="A16" s="13" t="s">
        <v>43</v>
      </c>
      <c r="B16" s="17">
        <v>2.1945926949090938E-3</v>
      </c>
      <c r="C16" s="17">
        <v>2.173940262416141E-3</v>
      </c>
      <c r="D16" s="17">
        <v>2.1844838726888592E-3</v>
      </c>
      <c r="E16" s="17">
        <v>2.229577915552157E-3</v>
      </c>
      <c r="F16" s="17">
        <v>2.2543586606034397E-3</v>
      </c>
      <c r="G16" s="17">
        <v>2.2799437635518142E-3</v>
      </c>
      <c r="H16" s="23">
        <f t="shared" si="0"/>
        <v>-9.4105993065871849E-3</v>
      </c>
      <c r="I16" s="23">
        <f t="shared" si="1"/>
        <v>1.5941555225359224E-2</v>
      </c>
      <c r="J16" s="23">
        <f t="shared" si="2"/>
        <v>3.889153046062422E-2</v>
      </c>
      <c r="K16" s="25"/>
      <c r="L16" s="25"/>
    </row>
    <row r="17" spans="1:12" ht="18" x14ac:dyDescent="0.15">
      <c r="A17" s="13" t="s">
        <v>44</v>
      </c>
      <c r="B17" s="17">
        <v>0.18675732317426028</v>
      </c>
      <c r="C17" s="17">
        <v>0.18675732317426028</v>
      </c>
      <c r="D17" s="17">
        <v>0.18955868302187415</v>
      </c>
      <c r="E17" s="17">
        <v>0.19366734413170789</v>
      </c>
      <c r="F17" s="17">
        <v>0.19721573327201886</v>
      </c>
      <c r="G17" s="17">
        <v>0.20057736508915552</v>
      </c>
      <c r="H17" s="23">
        <f t="shared" si="0"/>
        <v>0</v>
      </c>
      <c r="I17" s="23">
        <f t="shared" si="1"/>
        <v>3.6999999999999894E-2</v>
      </c>
      <c r="J17" s="23">
        <f t="shared" si="2"/>
        <v>7.3999999999999927E-2</v>
      </c>
      <c r="K17" s="25"/>
      <c r="L17" s="25"/>
    </row>
    <row r="18" spans="1:12" ht="18" x14ac:dyDescent="0.15">
      <c r="A18" s="13" t="s">
        <v>45</v>
      </c>
      <c r="B18" s="17">
        <v>1.1680143407169354E-2</v>
      </c>
      <c r="C18" s="17">
        <v>9.062180229700359E-3</v>
      </c>
      <c r="D18" s="17">
        <v>7.8694966205803529E-3</v>
      </c>
      <c r="E18" s="17">
        <v>6.6826530831639265E-3</v>
      </c>
      <c r="F18" s="17">
        <v>5.4228086494526977E-3</v>
      </c>
      <c r="G18" s="17">
        <v>4.1093966614947934E-3</v>
      </c>
      <c r="H18" s="23">
        <f t="shared" si="0"/>
        <v>-0.22413793103448293</v>
      </c>
      <c r="I18" s="23">
        <f t="shared" si="1"/>
        <v>-0.42786206896551743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3.0462504178215253E-2</v>
      </c>
      <c r="C19" s="17">
        <v>2.3634701517580795E-2</v>
      </c>
      <c r="D19" s="17">
        <v>2.0524112190072528E-2</v>
      </c>
      <c r="E19" s="17">
        <v>1.7428754114653361E-2</v>
      </c>
      <c r="F19" s="17">
        <v>1.4143005388120352E-2</v>
      </c>
      <c r="G19" s="17">
        <v>1.0717549314838978E-2</v>
      </c>
      <c r="H19" s="23">
        <f t="shared" si="0"/>
        <v>-0.2241379310344829</v>
      </c>
      <c r="I19" s="23">
        <f t="shared" si="1"/>
        <v>-0.42786206896551726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0.25605822916865312</v>
      </c>
      <c r="C20" s="17">
        <f t="shared" ref="C20:G20" si="3">C11+C12+C13+C14+C17</f>
        <v>0.26773002115656397</v>
      </c>
      <c r="D20" s="17">
        <f t="shared" si="3"/>
        <v>0.28825307364514818</v>
      </c>
      <c r="E20" s="17">
        <f t="shared" si="3"/>
        <v>0.30494272785217791</v>
      </c>
      <c r="F20" s="17">
        <f t="shared" si="3"/>
        <v>0.31970234247548779</v>
      </c>
      <c r="G20" s="17">
        <f t="shared" si="3"/>
        <v>0.33632848010129551</v>
      </c>
      <c r="H20" s="23">
        <f t="shared" si="0"/>
        <v>4.5582569346846527E-2</v>
      </c>
      <c r="I20" s="23">
        <f t="shared" si="1"/>
        <v>0.19091164865991064</v>
      </c>
      <c r="J20" s="23">
        <f t="shared" si="2"/>
        <v>0.31348436327649631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</row>
  </sheetData>
  <hyperlinks>
    <hyperlink ref="A1" location="Contenido!A1" display="Contenido" xr:uid="{10E91FF6-4B7A-45A8-B6A7-977A86B1464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6E847-B5F6-41FC-AC63-71AC56D66BB2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12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12.905683073421105</v>
      </c>
      <c r="C5" s="17">
        <v>11.289722792557424</v>
      </c>
      <c r="D5" s="17">
        <v>10.663549441138862</v>
      </c>
      <c r="E5" s="17">
        <v>10.049956038645552</v>
      </c>
      <c r="F5" s="17">
        <v>9.5831287663090396</v>
      </c>
      <c r="G5" s="17">
        <v>9.0011024488449483</v>
      </c>
      <c r="H5" s="23">
        <f>+(C5-B5)/B5</f>
        <v>-0.12521307641528151</v>
      </c>
      <c r="I5" s="23">
        <f>(E5-B5)/B5</f>
        <v>-0.22127670565976032</v>
      </c>
      <c r="J5" s="23">
        <f>(G5-B5)/B5</f>
        <v>-0.3025473818288264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1.8825852278159365</v>
      </c>
      <c r="C6" s="17">
        <v>1.7513420984741805</v>
      </c>
      <c r="D6" s="17">
        <v>1.7130027035802438</v>
      </c>
      <c r="E6" s="17">
        <v>1.6815260002015229</v>
      </c>
      <c r="F6" s="17">
        <v>1.6594658921571224</v>
      </c>
      <c r="G6" s="17">
        <v>1.6224596797708619</v>
      </c>
      <c r="H6" s="23">
        <f t="shared" ref="H6:H20" si="0">+(C6-B6)/B6</f>
        <v>-6.9714309558253806E-2</v>
      </c>
      <c r="I6" s="23">
        <f t="shared" ref="I6:I20" si="1">(E6-B6)/B6</f>
        <v>-0.10679953536428766</v>
      </c>
      <c r="J6" s="23">
        <f t="shared" ref="J6:J20" si="2">(G6-B6)/B6</f>
        <v>-0.13817464633293483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0.55843786083891134</v>
      </c>
      <c r="C7" s="17">
        <v>0.55843786083891134</v>
      </c>
      <c r="D7" s="17">
        <v>0.5668144287514949</v>
      </c>
      <c r="E7" s="17">
        <v>0.57910006168995087</v>
      </c>
      <c r="F7" s="17">
        <v>0.58971038104589035</v>
      </c>
      <c r="G7" s="17">
        <v>0.59976226254099074</v>
      </c>
      <c r="H7" s="23">
        <f t="shared" si="0"/>
        <v>0</v>
      </c>
      <c r="I7" s="23">
        <f t="shared" si="1"/>
        <v>3.6999999999999672E-2</v>
      </c>
      <c r="J7" s="23">
        <f t="shared" si="2"/>
        <v>7.3999999999999941E-2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0.80566518606169979</v>
      </c>
      <c r="C8" s="17">
        <v>0.5639656302431898</v>
      </c>
      <c r="D8" s="17">
        <v>0.53153760650420645</v>
      </c>
      <c r="E8" s="17">
        <v>0.50128487876758954</v>
      </c>
      <c r="F8" s="17">
        <v>0.46793034006463557</v>
      </c>
      <c r="G8" s="17">
        <v>0.43264220491513283</v>
      </c>
      <c r="H8" s="23">
        <f t="shared" si="0"/>
        <v>-0.30000000000000004</v>
      </c>
      <c r="I8" s="23">
        <f t="shared" si="1"/>
        <v>-0.37780000000000008</v>
      </c>
      <c r="J8" s="23">
        <f t="shared" si="2"/>
        <v>-0.46299999999999997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2.1991528087656567E-3</v>
      </c>
      <c r="C9" s="17">
        <v>1.8668462965301729E-3</v>
      </c>
      <c r="D9" s="17">
        <v>1.7262034360186176E-3</v>
      </c>
      <c r="E9" s="17">
        <v>1.5913177563135932E-3</v>
      </c>
      <c r="F9" s="17">
        <v>1.4450161737548576E-3</v>
      </c>
      <c r="G9" s="17">
        <v>1.291198534191588E-3</v>
      </c>
      <c r="H9" s="23">
        <f t="shared" si="0"/>
        <v>-0.15110660382986354</v>
      </c>
      <c r="I9" s="23">
        <f t="shared" si="1"/>
        <v>-0.27639509634313675</v>
      </c>
      <c r="J9" s="23">
        <f t="shared" si="2"/>
        <v>-0.41286547753981973</v>
      </c>
      <c r="K9" s="25"/>
      <c r="L9" s="25"/>
    </row>
    <row r="10" spans="1:12" ht="18" x14ac:dyDescent="0.15">
      <c r="A10" s="13" t="s">
        <v>37</v>
      </c>
      <c r="B10" s="17">
        <v>7.0721555847785264E-2</v>
      </c>
      <c r="C10" s="17">
        <v>6.9321128999314252E-2</v>
      </c>
      <c r="D10" s="17">
        <v>6.9650229308704945E-2</v>
      </c>
      <c r="E10" s="17">
        <v>7.0433768130424443E-2</v>
      </c>
      <c r="F10" s="17">
        <v>7.0984836095297807E-2</v>
      </c>
      <c r="G10" s="17">
        <v>7.1442775674747785E-2</v>
      </c>
      <c r="H10" s="23">
        <f t="shared" si="0"/>
        <v>-1.9801980198020038E-2</v>
      </c>
      <c r="I10" s="23">
        <f t="shared" si="1"/>
        <v>-4.069306930693517E-3</v>
      </c>
      <c r="J10" s="23">
        <f t="shared" si="2"/>
        <v>1.0198019801979616E-2</v>
      </c>
      <c r="K10" s="25"/>
      <c r="L10" s="25"/>
    </row>
    <row r="11" spans="1:12" ht="18" x14ac:dyDescent="0.15">
      <c r="A11" s="13" t="s">
        <v>38</v>
      </c>
      <c r="B11" s="17">
        <v>7.2059448350280759E-3</v>
      </c>
      <c r="C11" s="17">
        <v>6.3027259201883686E-3</v>
      </c>
      <c r="D11" s="17">
        <v>5.9526222276721523E-3</v>
      </c>
      <c r="E11" s="17">
        <v>5.6094973532625214E-3</v>
      </c>
      <c r="F11" s="17">
        <v>5.3484279325974613E-3</v>
      </c>
      <c r="G11" s="17">
        <v>4.9902490603968399E-3</v>
      </c>
      <c r="H11" s="23">
        <f t="shared" si="0"/>
        <v>-0.12534357888075454</v>
      </c>
      <c r="I11" s="23">
        <f t="shared" si="1"/>
        <v>-0.22154589277525802</v>
      </c>
      <c r="J11" s="23">
        <f t="shared" si="2"/>
        <v>-0.30748164541320738</v>
      </c>
      <c r="K11" s="25"/>
      <c r="L11" s="25"/>
    </row>
    <row r="12" spans="1:12" ht="18" x14ac:dyDescent="0.15">
      <c r="A12" s="13" t="s">
        <v>39</v>
      </c>
      <c r="B12" s="17">
        <v>1.7755363643693248E-2</v>
      </c>
      <c r="C12" s="17">
        <v>2.9900376305541525E-2</v>
      </c>
      <c r="D12" s="17">
        <v>4.5534231940985007E-2</v>
      </c>
      <c r="E12" s="17">
        <v>6.203567139243709E-2</v>
      </c>
      <c r="F12" s="17">
        <v>7.0887803546938799E-2</v>
      </c>
      <c r="G12" s="17">
        <v>8.3761611549127563E-2</v>
      </c>
      <c r="H12" s="23">
        <f t="shared" si="0"/>
        <v>0.6840193704600479</v>
      </c>
      <c r="I12" s="23">
        <f t="shared" si="1"/>
        <v>2.4939116222760283</v>
      </c>
      <c r="J12" s="23">
        <f t="shared" si="2"/>
        <v>3.7175384987893452</v>
      </c>
      <c r="K12" s="25"/>
      <c r="L12" s="25"/>
    </row>
    <row r="13" spans="1:12" ht="18" x14ac:dyDescent="0.15">
      <c r="A13" s="13" t="s">
        <v>40</v>
      </c>
      <c r="B13" s="17">
        <v>6.6459615199663258E-2</v>
      </c>
      <c r="C13" s="17">
        <v>7.532089722628503E-2</v>
      </c>
      <c r="D13" s="17">
        <v>8.8442979027374094E-2</v>
      </c>
      <c r="E13" s="17">
        <v>9.2657257071201635E-2</v>
      </c>
      <c r="F13" s="17">
        <v>0.10250376597114992</v>
      </c>
      <c r="G13" s="17">
        <v>0.1115870231125386</v>
      </c>
      <c r="H13" s="23">
        <f t="shared" si="0"/>
        <v>0.13333333333333341</v>
      </c>
      <c r="I13" s="23">
        <f t="shared" si="1"/>
        <v>0.39418888888888898</v>
      </c>
      <c r="J13" s="23">
        <f t="shared" si="2"/>
        <v>0.67901999999999996</v>
      </c>
      <c r="K13" s="25"/>
      <c r="L13" s="25"/>
    </row>
    <row r="14" spans="1:12" ht="18" x14ac:dyDescent="0.15">
      <c r="A14" s="13" t="s">
        <v>41</v>
      </c>
      <c r="B14" s="17">
        <v>3.0774977960791532E-2</v>
      </c>
      <c r="C14" s="17">
        <v>2.8022811504301935E-2</v>
      </c>
      <c r="D14" s="17">
        <v>2.7579265400100878E-2</v>
      </c>
      <c r="E14" s="17">
        <v>2.7350264028198699E-2</v>
      </c>
      <c r="F14" s="17">
        <v>2.6156590002477172E-2</v>
      </c>
      <c r="G14" s="17">
        <v>2.5312463896136159E-2</v>
      </c>
      <c r="H14" s="23">
        <f t="shared" si="0"/>
        <v>-8.942870600901677E-2</v>
      </c>
      <c r="I14" s="23">
        <f t="shared" si="1"/>
        <v>-0.11128241706480002</v>
      </c>
      <c r="J14" s="23">
        <f t="shared" si="2"/>
        <v>-0.17749855326021091</v>
      </c>
      <c r="K14" s="25"/>
      <c r="L14" s="25"/>
    </row>
    <row r="15" spans="1:12" ht="18" x14ac:dyDescent="0.15">
      <c r="A15" s="13" t="s">
        <v>42</v>
      </c>
      <c r="B15" s="17">
        <v>179.05998615891863</v>
      </c>
      <c r="C15" s="17">
        <v>170.10698685097273</v>
      </c>
      <c r="D15" s="17">
        <v>166.68694111533739</v>
      </c>
      <c r="E15" s="17">
        <v>164.99456844615534</v>
      </c>
      <c r="F15" s="17">
        <v>164.53795061425427</v>
      </c>
      <c r="G15" s="17">
        <v>161.50504309434297</v>
      </c>
      <c r="H15" s="23">
        <f t="shared" si="0"/>
        <v>-4.9999999999999836E-2</v>
      </c>
      <c r="I15" s="23">
        <f t="shared" si="1"/>
        <v>-7.8551428571428605E-2</v>
      </c>
      <c r="J15" s="23">
        <f t="shared" si="2"/>
        <v>-9.8039452817757791E-2</v>
      </c>
      <c r="K15" s="25"/>
      <c r="L15" s="25"/>
    </row>
    <row r="16" spans="1:12" ht="18" x14ac:dyDescent="0.15">
      <c r="A16" s="13" t="s">
        <v>43</v>
      </c>
      <c r="B16" s="17">
        <v>3.2732177485499006E-3</v>
      </c>
      <c r="C16" s="17">
        <v>3.2424148078750866E-3</v>
      </c>
      <c r="D16" s="17">
        <v>3.2581405196932789E-3</v>
      </c>
      <c r="E16" s="17">
        <v>3.3253979300530332E-3</v>
      </c>
      <c r="F16" s="17">
        <v>3.3623582164480012E-3</v>
      </c>
      <c r="G16" s="17">
        <v>3.4005181963218827E-3</v>
      </c>
      <c r="H16" s="23">
        <f t="shared" si="0"/>
        <v>-9.4105993065876237E-3</v>
      </c>
      <c r="I16" s="23">
        <f t="shared" si="1"/>
        <v>1.5941555225358728E-2</v>
      </c>
      <c r="J16" s="23">
        <f t="shared" si="2"/>
        <v>3.8891530460623568E-2</v>
      </c>
      <c r="K16" s="25"/>
      <c r="L16" s="25"/>
    </row>
    <row r="17" spans="1:12" ht="18" x14ac:dyDescent="0.15">
      <c r="A17" s="13" t="s">
        <v>44</v>
      </c>
      <c r="B17" s="17">
        <v>0.41920097020739461</v>
      </c>
      <c r="C17" s="17">
        <v>0.41920097020739461</v>
      </c>
      <c r="D17" s="17">
        <v>0.42548898476050551</v>
      </c>
      <c r="E17" s="17">
        <v>0.43471140610506825</v>
      </c>
      <c r="F17" s="17">
        <v>0.44267622453900879</v>
      </c>
      <c r="G17" s="17">
        <v>0.4502218420027419</v>
      </c>
      <c r="H17" s="23">
        <f t="shared" si="0"/>
        <v>0</v>
      </c>
      <c r="I17" s="23">
        <f t="shared" si="1"/>
        <v>3.7000000000000109E-2</v>
      </c>
      <c r="J17" s="23">
        <f t="shared" si="2"/>
        <v>7.4000000000000218E-2</v>
      </c>
      <c r="K17" s="25"/>
      <c r="L17" s="25"/>
    </row>
    <row r="18" spans="1:12" ht="18" x14ac:dyDescent="0.15">
      <c r="A18" s="13" t="s">
        <v>45</v>
      </c>
      <c r="B18" s="17">
        <v>1.1126707396801504E-2</v>
      </c>
      <c r="C18" s="17">
        <v>8.6327902216563387E-3</v>
      </c>
      <c r="D18" s="17">
        <v>7.4966191085950144E-3</v>
      </c>
      <c r="E18" s="17">
        <v>6.3660113492320881E-3</v>
      </c>
      <c r="F18" s="17">
        <v>5.1658616686391561E-3</v>
      </c>
      <c r="G18" s="17">
        <v>3.9146826058470982E-3</v>
      </c>
      <c r="H18" s="23">
        <f t="shared" si="0"/>
        <v>-0.22413793103448285</v>
      </c>
      <c r="I18" s="23">
        <f t="shared" si="1"/>
        <v>-0.42786206896551726</v>
      </c>
      <c r="J18" s="23">
        <f t="shared" si="2"/>
        <v>-0.64817241379310309</v>
      </c>
      <c r="K18" s="25"/>
      <c r="L18" s="25"/>
    </row>
    <row r="19" spans="1:12" s="9" customFormat="1" x14ac:dyDescent="0.15">
      <c r="A19" s="13" t="s">
        <v>46</v>
      </c>
      <c r="B19" s="17">
        <v>4.1660446059264951E-2</v>
      </c>
      <c r="C19" s="17">
        <v>3.2322759873567634E-2</v>
      </c>
      <c r="D19" s="17">
        <v>2.8068725532429766E-2</v>
      </c>
      <c r="E19" s="17">
        <v>2.383552141432152E-2</v>
      </c>
      <c r="F19" s="17">
        <v>1.9341939508342884E-2</v>
      </c>
      <c r="G19" s="17">
        <v>1.4657294177333817E-2</v>
      </c>
      <c r="H19" s="23">
        <f t="shared" si="0"/>
        <v>-0.22413793103448276</v>
      </c>
      <c r="I19" s="23">
        <f t="shared" si="1"/>
        <v>-0.42786206896551721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0.5413968718465707</v>
      </c>
      <c r="C20" s="17">
        <f t="shared" ref="C20:G20" si="3">C11+C12+C13+C14+C17</f>
        <v>0.55874778116371149</v>
      </c>
      <c r="D20" s="17">
        <f t="shared" si="3"/>
        <v>0.59299808335663762</v>
      </c>
      <c r="E20" s="17">
        <f t="shared" si="3"/>
        <v>0.62236409595016817</v>
      </c>
      <c r="F20" s="17">
        <f t="shared" si="3"/>
        <v>0.6475728119921722</v>
      </c>
      <c r="G20" s="17">
        <f t="shared" si="3"/>
        <v>0.67587318962094112</v>
      </c>
      <c r="H20" s="23">
        <f t="shared" si="0"/>
        <v>3.204841073048894E-2</v>
      </c>
      <c r="I20" s="23">
        <f t="shared" si="1"/>
        <v>0.14955244168190021</v>
      </c>
      <c r="J20" s="23">
        <f t="shared" si="2"/>
        <v>0.24838768889761956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00FA5B80-6DCD-4053-AC2B-F8C455AEB1A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C352F-9FD1-4BD1-B555-81919EE14223}">
  <sheetPr>
    <tabColor rgb="FFD18316"/>
  </sheetPr>
  <dimension ref="A1:L21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13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12.925836578041606</v>
      </c>
      <c r="C5" s="17">
        <v>11.283416342623504</v>
      </c>
      <c r="D5" s="17">
        <v>10.644122454430461</v>
      </c>
      <c r="E5" s="17">
        <v>10.016276339565776</v>
      </c>
      <c r="F5" s="17">
        <v>9.5381730212802811</v>
      </c>
      <c r="G5" s="17">
        <v>8.9442118922557778</v>
      </c>
      <c r="H5" s="23">
        <f>+(C5-B5)/B5</f>
        <v>-0.12706490798500761</v>
      </c>
      <c r="I5" s="23">
        <f>(E5-B5)/B5</f>
        <v>-0.22509647409735839</v>
      </c>
      <c r="J5" s="23">
        <f>(G5-B5)/B5</f>
        <v>-0.30803613071743507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1.9193463273597926</v>
      </c>
      <c r="C6" s="17">
        <v>1.7813138056693318</v>
      </c>
      <c r="D6" s="17">
        <v>1.7400816443788518</v>
      </c>
      <c r="E6" s="17">
        <v>1.7056427974805624</v>
      </c>
      <c r="F6" s="17">
        <v>1.6812895627615305</v>
      </c>
      <c r="G6" s="17">
        <v>1.6412776683163586</v>
      </c>
      <c r="H6" s="23">
        <f t="shared" ref="H6:H20" si="0">+(C6-B6)/B6</f>
        <v>-7.191642265017123E-2</v>
      </c>
      <c r="I6" s="23">
        <f t="shared" ref="I6:I20" si="1">(E6-B6)/B6</f>
        <v>-0.11134182863870939</v>
      </c>
      <c r="J6" s="23">
        <f t="shared" ref="J6:J20" si="2">(G6-B6)/B6</f>
        <v>-0.14487675052679977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0.56185676124984929</v>
      </c>
      <c r="C7" s="17">
        <v>0.56185676124984929</v>
      </c>
      <c r="D7" s="17">
        <v>0.57028461266859698</v>
      </c>
      <c r="E7" s="17">
        <v>0.58264546141609375</v>
      </c>
      <c r="F7" s="17">
        <v>0.59332073987984091</v>
      </c>
      <c r="G7" s="17">
        <v>0.6034341615823382</v>
      </c>
      <c r="H7" s="23">
        <f t="shared" si="0"/>
        <v>0</v>
      </c>
      <c r="I7" s="23">
        <f t="shared" si="1"/>
        <v>3.7000000000000061E-2</v>
      </c>
      <c r="J7" s="23">
        <f t="shared" si="2"/>
        <v>7.4000000000000121E-2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0.8080267881713632</v>
      </c>
      <c r="C8" s="17">
        <v>0.56561875171995435</v>
      </c>
      <c r="D8" s="17">
        <v>0.53309567349605702</v>
      </c>
      <c r="E8" s="17">
        <v>0.50275426760022213</v>
      </c>
      <c r="F8" s="17">
        <v>0.4693019585699279</v>
      </c>
      <c r="G8" s="17">
        <v>0.43391038524802211</v>
      </c>
      <c r="H8" s="23">
        <f t="shared" si="0"/>
        <v>-0.29999999999999988</v>
      </c>
      <c r="I8" s="23">
        <f t="shared" si="1"/>
        <v>-0.37780000000000008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2.1561880883484495E-3</v>
      </c>
      <c r="C9" s="17">
        <v>1.8303738290997107E-3</v>
      </c>
      <c r="D9" s="17">
        <v>1.6924786999674701E-3</v>
      </c>
      <c r="E9" s="17">
        <v>1.560228273935456E-3</v>
      </c>
      <c r="F9" s="17">
        <v>1.4167849768792898E-3</v>
      </c>
      <c r="G9" s="17">
        <v>1.2659724635867961E-3</v>
      </c>
      <c r="H9" s="23">
        <f t="shared" si="0"/>
        <v>-0.15110660382986299</v>
      </c>
      <c r="I9" s="23">
        <f t="shared" si="1"/>
        <v>-0.27639509634313675</v>
      </c>
      <c r="J9" s="23">
        <f t="shared" si="2"/>
        <v>-0.41286547753981961</v>
      </c>
      <c r="K9" s="25"/>
      <c r="L9" s="25"/>
    </row>
    <row r="10" spans="1:12" ht="18" x14ac:dyDescent="0.15">
      <c r="A10" s="13" t="s">
        <v>37</v>
      </c>
      <c r="B10" s="17">
        <v>7.0384239043790459E-2</v>
      </c>
      <c r="C10" s="17">
        <v>6.8990491735992615E-2</v>
      </c>
      <c r="D10" s="17">
        <v>6.9318022353325098E-2</v>
      </c>
      <c r="E10" s="17">
        <v>7.0097823972037995E-2</v>
      </c>
      <c r="F10" s="17">
        <v>7.0646263537656434E-2</v>
      </c>
      <c r="G10" s="17">
        <v>7.110201890730633E-2</v>
      </c>
      <c r="H10" s="23">
        <f t="shared" si="0"/>
        <v>-1.9801980198019983E-2</v>
      </c>
      <c r="I10" s="23">
        <f t="shared" si="1"/>
        <v>-4.0693069306931978E-3</v>
      </c>
      <c r="J10" s="23">
        <f t="shared" si="2"/>
        <v>1.0198019801980039E-2</v>
      </c>
      <c r="K10" s="25"/>
      <c r="L10" s="25"/>
    </row>
    <row r="11" spans="1:12" ht="18" x14ac:dyDescent="0.15">
      <c r="A11" s="13" t="s">
        <v>38</v>
      </c>
      <c r="B11" s="17">
        <v>7.2873776155856166E-3</v>
      </c>
      <c r="C11" s="17">
        <v>6.3463869124847075E-3</v>
      </c>
      <c r="D11" s="17">
        <v>5.9783435054656005E-3</v>
      </c>
      <c r="E11" s="17">
        <v>5.6160313716826704E-3</v>
      </c>
      <c r="F11" s="17">
        <v>5.3398659153203569E-3</v>
      </c>
      <c r="G11" s="17">
        <v>4.9627498922844874E-3</v>
      </c>
      <c r="H11" s="23">
        <f t="shared" si="0"/>
        <v>-0.12912610718681561</v>
      </c>
      <c r="I11" s="23">
        <f t="shared" si="1"/>
        <v>-0.22934810463621572</v>
      </c>
      <c r="J11" s="23">
        <f t="shared" si="2"/>
        <v>-0.31899372393292963</v>
      </c>
      <c r="K11" s="25"/>
      <c r="L11" s="25"/>
    </row>
    <row r="12" spans="1:12" ht="18" x14ac:dyDescent="0.15">
      <c r="A12" s="13" t="s">
        <v>39</v>
      </c>
      <c r="B12" s="17">
        <v>1.8271798214545668E-2</v>
      </c>
      <c r="C12" s="17">
        <v>3.0770062126432234E-2</v>
      </c>
      <c r="D12" s="17">
        <v>4.6858645904192676E-2</v>
      </c>
      <c r="E12" s="17">
        <v>6.3840048141683481E-2</v>
      </c>
      <c r="F12" s="17">
        <v>7.2949654441017114E-2</v>
      </c>
      <c r="G12" s="17">
        <v>8.619791151922962E-2</v>
      </c>
      <c r="H12" s="23">
        <f t="shared" si="0"/>
        <v>0.68401937046004846</v>
      </c>
      <c r="I12" s="23">
        <f t="shared" si="1"/>
        <v>2.4939116222760278</v>
      </c>
      <c r="J12" s="23">
        <f t="shared" si="2"/>
        <v>3.7175384987893461</v>
      </c>
      <c r="K12" s="25"/>
      <c r="L12" s="25"/>
    </row>
    <row r="13" spans="1:12" ht="18" x14ac:dyDescent="0.15">
      <c r="A13" s="13" t="s">
        <v>40</v>
      </c>
      <c r="B13" s="17">
        <v>6.9143132147868727E-2</v>
      </c>
      <c r="C13" s="17">
        <v>7.8362216434251203E-2</v>
      </c>
      <c r="D13" s="17">
        <v>9.2014143748335955E-2</v>
      </c>
      <c r="E13" s="17">
        <v>9.6398586583534687E-2</v>
      </c>
      <c r="F13" s="17">
        <v>0.10664267939115815</v>
      </c>
      <c r="G13" s="17">
        <v>0.11609270173891452</v>
      </c>
      <c r="H13" s="23">
        <f t="shared" si="0"/>
        <v>0.13333333333333303</v>
      </c>
      <c r="I13" s="23">
        <f t="shared" si="1"/>
        <v>0.39418888888888848</v>
      </c>
      <c r="J13" s="23">
        <f t="shared" si="2"/>
        <v>0.67901999999999951</v>
      </c>
      <c r="K13" s="25"/>
      <c r="L13" s="25"/>
    </row>
    <row r="14" spans="1:12" ht="18" x14ac:dyDescent="0.15">
      <c r="A14" s="13" t="s">
        <v>41</v>
      </c>
      <c r="B14" s="17">
        <v>3.1037078016921873E-2</v>
      </c>
      <c r="C14" s="17">
        <v>2.8261472291567634E-2</v>
      </c>
      <c r="D14" s="17">
        <v>2.7814148655536795E-2</v>
      </c>
      <c r="E14" s="17">
        <v>2.7583196956570022E-2</v>
      </c>
      <c r="F14" s="17">
        <v>2.6379356813766564E-2</v>
      </c>
      <c r="G14" s="17">
        <v>2.5528041571493937E-2</v>
      </c>
      <c r="H14" s="23">
        <f t="shared" si="0"/>
        <v>-8.942870600901727E-2</v>
      </c>
      <c r="I14" s="23">
        <f t="shared" si="1"/>
        <v>-0.11128241706480049</v>
      </c>
      <c r="J14" s="23">
        <f t="shared" si="2"/>
        <v>-0.17749855326021116</v>
      </c>
      <c r="K14" s="25"/>
      <c r="L14" s="25"/>
    </row>
    <row r="15" spans="1:12" ht="18" x14ac:dyDescent="0.15">
      <c r="A15" s="13" t="s">
        <v>42</v>
      </c>
      <c r="B15" s="17">
        <v>175.60574673180585</v>
      </c>
      <c r="C15" s="17">
        <v>166.82545939521555</v>
      </c>
      <c r="D15" s="17">
        <v>163.47138963263797</v>
      </c>
      <c r="E15" s="17">
        <v>161.81166446067002</v>
      </c>
      <c r="F15" s="17">
        <v>161.39848110415588</v>
      </c>
      <c r="G15" s="17">
        <v>158.42344303412025</v>
      </c>
      <c r="H15" s="23">
        <f t="shared" si="0"/>
        <v>-5.0000000000000072E-2</v>
      </c>
      <c r="I15" s="23">
        <f t="shared" si="1"/>
        <v>-7.8551428571428633E-2</v>
      </c>
      <c r="J15" s="23">
        <f t="shared" si="2"/>
        <v>-9.7845907764780027E-2</v>
      </c>
      <c r="K15" s="25"/>
      <c r="L15" s="25"/>
    </row>
    <row r="16" spans="1:12" ht="18" x14ac:dyDescent="0.15">
      <c r="A16" s="13" t="s">
        <v>43</v>
      </c>
      <c r="B16" s="17">
        <v>3.2330132670217917E-3</v>
      </c>
      <c r="C16" s="17">
        <v>3.2025886746129672E-3</v>
      </c>
      <c r="D16" s="17">
        <v>3.2181212296848402E-3</v>
      </c>
      <c r="E16" s="17">
        <v>3.2845525265623389E-3</v>
      </c>
      <c r="F16" s="17">
        <v>3.3210588348642502E-3</v>
      </c>
      <c r="G16" s="17">
        <v>3.3587501009757713E-3</v>
      </c>
      <c r="H16" s="23">
        <f t="shared" si="0"/>
        <v>-9.4105993065878215E-3</v>
      </c>
      <c r="I16" s="23">
        <f t="shared" si="1"/>
        <v>1.5941555225359314E-2</v>
      </c>
      <c r="J16" s="23">
        <f t="shared" si="2"/>
        <v>3.8891530460624039E-2</v>
      </c>
      <c r="K16" s="25"/>
      <c r="L16" s="25"/>
    </row>
    <row r="17" spans="1:12" ht="18" x14ac:dyDescent="0.15">
      <c r="A17" s="13" t="s">
        <v>44</v>
      </c>
      <c r="B17" s="17">
        <v>0.42825411714508593</v>
      </c>
      <c r="C17" s="17">
        <v>0.42825411714508593</v>
      </c>
      <c r="D17" s="17">
        <v>0.4346779289022622</v>
      </c>
      <c r="E17" s="17">
        <v>0.44409951947945409</v>
      </c>
      <c r="F17" s="17">
        <v>0.45223634770521076</v>
      </c>
      <c r="G17" s="17">
        <v>0.45994492181382229</v>
      </c>
      <c r="H17" s="23">
        <f t="shared" si="0"/>
        <v>0</v>
      </c>
      <c r="I17" s="23">
        <f t="shared" si="1"/>
        <v>3.6999999999999936E-2</v>
      </c>
      <c r="J17" s="23">
        <f t="shared" si="2"/>
        <v>7.400000000000001E-2</v>
      </c>
      <c r="K17" s="25"/>
      <c r="L17" s="25"/>
    </row>
    <row r="18" spans="1:12" ht="18" x14ac:dyDescent="0.15">
      <c r="A18" s="13" t="s">
        <v>45</v>
      </c>
      <c r="B18" s="17">
        <v>1.0964308496697495E-2</v>
      </c>
      <c r="C18" s="17">
        <v>8.506791075023919E-3</v>
      </c>
      <c r="D18" s="17">
        <v>7.3872028496499388E-3</v>
      </c>
      <c r="E18" s="17">
        <v>6.2730967785243064E-3</v>
      </c>
      <c r="F18" s="17">
        <v>5.0904637792943174E-3</v>
      </c>
      <c r="G18" s="17">
        <v>3.8575461928208486E-3</v>
      </c>
      <c r="H18" s="23">
        <f t="shared" si="0"/>
        <v>-0.22413793103448268</v>
      </c>
      <c r="I18" s="23">
        <f t="shared" si="1"/>
        <v>-0.42786206896551709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4.4091738844445061E-2</v>
      </c>
      <c r="C19" s="17">
        <v>3.4209107724138411E-2</v>
      </c>
      <c r="D19" s="17">
        <v>2.9706809046444876E-2</v>
      </c>
      <c r="E19" s="17">
        <v>2.522655623817353E-2</v>
      </c>
      <c r="F19" s="17">
        <v>2.0470730062124437E-2</v>
      </c>
      <c r="G19" s="17">
        <v>1.5512690049305975E-2</v>
      </c>
      <c r="H19" s="23">
        <f t="shared" si="0"/>
        <v>-0.22413793103448271</v>
      </c>
      <c r="I19" s="23">
        <f t="shared" si="1"/>
        <v>-0.42786206896551732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0.55399350314000784</v>
      </c>
      <c r="C20" s="17">
        <f t="shared" ref="C20:G20" si="3">C11+C12+C13+C14+C17</f>
        <v>0.5719942549098217</v>
      </c>
      <c r="D20" s="17">
        <f t="shared" si="3"/>
        <v>0.60734321071579322</v>
      </c>
      <c r="E20" s="17">
        <f t="shared" si="3"/>
        <v>0.63753738253292491</v>
      </c>
      <c r="F20" s="17">
        <f t="shared" si="3"/>
        <v>0.66354790426647292</v>
      </c>
      <c r="G20" s="17">
        <f t="shared" si="3"/>
        <v>0.69272632653574484</v>
      </c>
      <c r="H20" s="23">
        <f t="shared" si="0"/>
        <v>3.2492712762489974E-2</v>
      </c>
      <c r="I20" s="23">
        <f t="shared" si="1"/>
        <v>0.15080299483548903</v>
      </c>
      <c r="J20" s="23">
        <f t="shared" si="2"/>
        <v>0.25042319559598841</v>
      </c>
      <c r="K20" s="25"/>
      <c r="L20" s="25"/>
    </row>
    <row r="21" spans="1:12" s="9" customFormat="1" x14ac:dyDescent="0.15">
      <c r="A21" s="8"/>
    </row>
  </sheetData>
  <hyperlinks>
    <hyperlink ref="A1" location="Contenido!A1" display="Contenido" xr:uid="{01554A21-C86E-4DA2-986E-D6DA25E9D76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486BC-FBE9-4422-BC33-12BE9F80D688}">
  <sheetPr>
    <tabColor rgb="FFD18316"/>
  </sheetPr>
  <dimension ref="A1:L23"/>
  <sheetViews>
    <sheetView topLeftCell="A3" zoomScale="70" zoomScaleNormal="70" workbookViewId="0">
      <selection activeCell="H5" sqref="H5:J20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14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10.497553575732761</v>
      </c>
      <c r="C5" s="17">
        <v>9.4088586836050485</v>
      </c>
      <c r="D5" s="17">
        <v>9.0140392309961488</v>
      </c>
      <c r="E5" s="17">
        <v>8.6403147738670398</v>
      </c>
      <c r="F5" s="17">
        <v>8.3600602509177531</v>
      </c>
      <c r="G5" s="17">
        <v>7.990695054706161</v>
      </c>
      <c r="H5" s="23">
        <f>+(C5-B5)/B5</f>
        <v>-0.10370939136185531</v>
      </c>
      <c r="I5" s="23">
        <f>(E5-B5)/B5</f>
        <v>-0.17692110723388998</v>
      </c>
      <c r="J5" s="23">
        <f>(G5-B5)/B5</f>
        <v>-0.23880407019990976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1.0938106498978282</v>
      </c>
      <c r="C6" s="17">
        <v>1.0576234230055155</v>
      </c>
      <c r="D6" s="17">
        <v>1.0556732068229844</v>
      </c>
      <c r="E6" s="17">
        <v>1.0596383397757925</v>
      </c>
      <c r="F6" s="17">
        <v>1.064475683647677</v>
      </c>
      <c r="G6" s="17">
        <v>1.0646172566561047</v>
      </c>
      <c r="H6" s="23">
        <f t="shared" ref="H6:H20" si="0">+(C6-B6)/B6</f>
        <v>-3.3083630055798868E-2</v>
      </c>
      <c r="I6" s="23">
        <f t="shared" ref="I6:I20" si="1">(E6-B6)/B6</f>
        <v>-3.1241522584578695E-2</v>
      </c>
      <c r="J6" s="23">
        <f t="shared" ref="J6:J20" si="2">(G6-B6)/B6</f>
        <v>-2.6689622417234975E-2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0.5295414122740576</v>
      </c>
      <c r="C7" s="17">
        <v>0.5295414122740576</v>
      </c>
      <c r="D7" s="17">
        <v>0.53748453345816838</v>
      </c>
      <c r="E7" s="17">
        <v>0.5491344445281976</v>
      </c>
      <c r="F7" s="17">
        <v>0.55919573136140488</v>
      </c>
      <c r="G7" s="17">
        <v>0.56872747678233782</v>
      </c>
      <c r="H7" s="23">
        <f t="shared" si="0"/>
        <v>0</v>
      </c>
      <c r="I7" s="23">
        <f t="shared" si="1"/>
        <v>3.6999999999999748E-2</v>
      </c>
      <c r="J7" s="23">
        <f t="shared" si="2"/>
        <v>7.3999999999999913E-2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0.66597575864253833</v>
      </c>
      <c r="C8" s="17">
        <v>0.46618303104977699</v>
      </c>
      <c r="D8" s="17">
        <v>0.43937750676441473</v>
      </c>
      <c r="E8" s="17">
        <v>0.41437011702738741</v>
      </c>
      <c r="F8" s="17">
        <v>0.38679872061958637</v>
      </c>
      <c r="G8" s="17">
        <v>0.35762898239104318</v>
      </c>
      <c r="H8" s="23">
        <f t="shared" si="0"/>
        <v>-0.29999999999999977</v>
      </c>
      <c r="I8" s="23">
        <f t="shared" si="1"/>
        <v>-0.37779999999999991</v>
      </c>
      <c r="J8" s="23">
        <f t="shared" si="2"/>
        <v>-0.46299999999999986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2.6849547885559426E-3</v>
      </c>
      <c r="C9" s="17">
        <v>2.2792403890205251E-3</v>
      </c>
      <c r="D9" s="17">
        <v>2.1075289370916083E-3</v>
      </c>
      <c r="E9" s="17">
        <v>1.9428464510960557E-3</v>
      </c>
      <c r="F9" s="17">
        <v>1.7642262419415734E-3</v>
      </c>
      <c r="G9" s="17">
        <v>1.5764296476059674E-3</v>
      </c>
      <c r="H9" s="23">
        <f t="shared" si="0"/>
        <v>-0.15110660382986341</v>
      </c>
      <c r="I9" s="23">
        <f t="shared" si="1"/>
        <v>-0.27639509634313703</v>
      </c>
      <c r="J9" s="23">
        <f t="shared" si="2"/>
        <v>-0.41286547753981984</v>
      </c>
      <c r="K9" s="25"/>
      <c r="L9" s="25"/>
    </row>
    <row r="10" spans="1:12" ht="18" x14ac:dyDescent="0.15">
      <c r="A10" s="13" t="s">
        <v>37</v>
      </c>
      <c r="B10" s="17">
        <v>7.4358466290807973E-2</v>
      </c>
      <c r="C10" s="17">
        <v>7.2886021413762284E-2</v>
      </c>
      <c r="D10" s="17">
        <v>7.3232045959867972E-2</v>
      </c>
      <c r="E10" s="17">
        <v>7.4055878868575079E-2</v>
      </c>
      <c r="F10" s="17">
        <v>7.4635285927692571E-2</v>
      </c>
      <c r="G10" s="17">
        <v>7.5116775402486527E-2</v>
      </c>
      <c r="H10" s="23">
        <f t="shared" si="0"/>
        <v>-1.9801980198019625E-2</v>
      </c>
      <c r="I10" s="23">
        <f t="shared" si="1"/>
        <v>-4.069306930693105E-3</v>
      </c>
      <c r="J10" s="23">
        <f t="shared" si="2"/>
        <v>1.0198019801980429E-2</v>
      </c>
      <c r="K10" s="25"/>
      <c r="L10" s="25"/>
    </row>
    <row r="11" spans="1:12" ht="18" x14ac:dyDescent="0.15">
      <c r="A11" s="13" t="s">
        <v>38</v>
      </c>
      <c r="B11" s="17">
        <v>5.9553265529608858E-3</v>
      </c>
      <c r="C11" s="17">
        <v>5.5972019835441823E-3</v>
      </c>
      <c r="D11" s="17">
        <v>5.5048592886201919E-3</v>
      </c>
      <c r="E11" s="17">
        <v>5.4369709643192462E-3</v>
      </c>
      <c r="F11" s="17">
        <v>5.392322920541104E-3</v>
      </c>
      <c r="G11" s="17">
        <v>5.3060729820334539E-3</v>
      </c>
      <c r="H11" s="23">
        <f t="shared" si="0"/>
        <v>-6.0135169118249295E-2</v>
      </c>
      <c r="I11" s="23">
        <f t="shared" si="1"/>
        <v>-8.7040665869770342E-2</v>
      </c>
      <c r="J11" s="23">
        <f t="shared" si="2"/>
        <v>-0.10902064985918097</v>
      </c>
      <c r="K11" s="25"/>
      <c r="L11" s="25"/>
    </row>
    <row r="12" spans="1:12" ht="18" x14ac:dyDescent="0.15">
      <c r="A12" s="13" t="s">
        <v>39</v>
      </c>
      <c r="B12" s="17">
        <v>1.0991026519656144E-2</v>
      </c>
      <c r="C12" s="17">
        <v>1.8509101560341044E-2</v>
      </c>
      <c r="D12" s="17">
        <v>2.8186860086828344E-2</v>
      </c>
      <c r="E12" s="17">
        <v>3.8401675297770665E-2</v>
      </c>
      <c r="F12" s="17">
        <v>4.3881372656725558E-2</v>
      </c>
      <c r="G12" s="17">
        <v>5.1850590747692563E-2</v>
      </c>
      <c r="H12" s="23">
        <f t="shared" si="0"/>
        <v>0.68401937046004913</v>
      </c>
      <c r="I12" s="23">
        <f t="shared" si="1"/>
        <v>2.49391162227603</v>
      </c>
      <c r="J12" s="23">
        <f t="shared" si="2"/>
        <v>3.7175384987893483</v>
      </c>
      <c r="K12" s="25"/>
      <c r="L12" s="25"/>
    </row>
    <row r="13" spans="1:12" ht="18" x14ac:dyDescent="0.15">
      <c r="A13" s="13" t="s">
        <v>40</v>
      </c>
      <c r="B13" s="17">
        <v>3.1520788772461401E-2</v>
      </c>
      <c r="C13" s="17">
        <v>3.5723560608789597E-2</v>
      </c>
      <c r="D13" s="17">
        <v>4.1947165236418914E-2</v>
      </c>
      <c r="E13" s="17">
        <v>4.3945933475579332E-2</v>
      </c>
      <c r="F13" s="17">
        <v>4.861598349390997E-2</v>
      </c>
      <c r="G13" s="17">
        <v>5.2924034764738143E-2</v>
      </c>
      <c r="H13" s="23">
        <f t="shared" si="0"/>
        <v>0.13333333333333361</v>
      </c>
      <c r="I13" s="23">
        <f t="shared" si="1"/>
        <v>0.39418888888888914</v>
      </c>
      <c r="J13" s="23">
        <f t="shared" si="2"/>
        <v>0.67902000000000007</v>
      </c>
      <c r="K13" s="25"/>
      <c r="L13" s="25"/>
    </row>
    <row r="14" spans="1:12" ht="18" x14ac:dyDescent="0.15">
      <c r="A14" s="13" t="s">
        <v>41</v>
      </c>
      <c r="B14" s="17">
        <v>2.1308553215141871E-2</v>
      </c>
      <c r="C14" s="17">
        <v>1.9402956874187458E-2</v>
      </c>
      <c r="D14" s="17">
        <v>1.9095846150118737E-2</v>
      </c>
      <c r="E14" s="17">
        <v>1.8937285909206961E-2</v>
      </c>
      <c r="F14" s="17">
        <v>1.8110787624430743E-2</v>
      </c>
      <c r="G14" s="17">
        <v>1.7526315847385968E-2</v>
      </c>
      <c r="H14" s="23">
        <f t="shared" si="0"/>
        <v>-8.942870600901684E-2</v>
      </c>
      <c r="I14" s="23">
        <f t="shared" si="1"/>
        <v>-0.11128241706480031</v>
      </c>
      <c r="J14" s="23">
        <f t="shared" si="2"/>
        <v>-0.17749855326021116</v>
      </c>
      <c r="K14" s="25"/>
      <c r="L14" s="25"/>
    </row>
    <row r="15" spans="1:12" ht="18" x14ac:dyDescent="0.15">
      <c r="A15" s="13" t="s">
        <v>42</v>
      </c>
      <c r="B15" s="17">
        <v>219.54628009564189</v>
      </c>
      <c r="C15" s="17">
        <v>208.56896609085976</v>
      </c>
      <c r="D15" s="17">
        <v>204.37563214103295</v>
      </c>
      <c r="E15" s="17">
        <v>202.30060615658621</v>
      </c>
      <c r="F15" s="17">
        <v>201.22311060076552</v>
      </c>
      <c r="G15" s="17">
        <v>197.51399010277314</v>
      </c>
      <c r="H15" s="23">
        <f t="shared" si="0"/>
        <v>-5.0000000000000162E-2</v>
      </c>
      <c r="I15" s="23">
        <f t="shared" si="1"/>
        <v>-7.8551428571428633E-2</v>
      </c>
      <c r="J15" s="23">
        <f t="shared" si="2"/>
        <v>-0.10035373855239421</v>
      </c>
      <c r="K15" s="25"/>
      <c r="L15" s="25"/>
    </row>
    <row r="16" spans="1:12" ht="18" x14ac:dyDescent="0.15">
      <c r="A16" s="13" t="s">
        <v>43</v>
      </c>
      <c r="B16" s="17">
        <v>3.4313619871206421E-3</v>
      </c>
      <c r="C16" s="17">
        <v>3.3990708143839953E-3</v>
      </c>
      <c r="D16" s="17">
        <v>3.4155563078337565E-3</v>
      </c>
      <c r="E16" s="17">
        <v>3.4860632337365251E-3</v>
      </c>
      <c r="F16" s="17">
        <v>3.5248092419496889E-3</v>
      </c>
      <c r="G16" s="17">
        <v>3.5648129063641735E-3</v>
      </c>
      <c r="H16" s="23">
        <f t="shared" si="0"/>
        <v>-9.4105993065871051E-3</v>
      </c>
      <c r="I16" s="23">
        <f t="shared" si="1"/>
        <v>1.5941555225359484E-2</v>
      </c>
      <c r="J16" s="23">
        <f t="shared" si="2"/>
        <v>3.889153046062447E-2</v>
      </c>
      <c r="K16" s="25"/>
      <c r="L16" s="25"/>
    </row>
    <row r="17" spans="1:12" ht="18" x14ac:dyDescent="0.15">
      <c r="A17" s="13" t="s">
        <v>44</v>
      </c>
      <c r="B17" s="17">
        <v>0.23493043165058977</v>
      </c>
      <c r="C17" s="17">
        <v>0.23493043165058977</v>
      </c>
      <c r="D17" s="17">
        <v>0.23845438812534858</v>
      </c>
      <c r="E17" s="17">
        <v>0.24362285762166155</v>
      </c>
      <c r="F17" s="17">
        <v>0.24808653582302281</v>
      </c>
      <c r="G17" s="17">
        <v>0.25231528359273347</v>
      </c>
      <c r="H17" s="23">
        <f t="shared" si="0"/>
        <v>0</v>
      </c>
      <c r="I17" s="23">
        <f t="shared" si="1"/>
        <v>3.6999999999999832E-2</v>
      </c>
      <c r="J17" s="23">
        <f t="shared" si="2"/>
        <v>7.400000000000026E-2</v>
      </c>
      <c r="K17" s="25"/>
      <c r="L17" s="25"/>
    </row>
    <row r="18" spans="1:12" ht="18" x14ac:dyDescent="0.15">
      <c r="A18" s="13" t="s">
        <v>45</v>
      </c>
      <c r="B18" s="17">
        <v>1.3236865430469546E-2</v>
      </c>
      <c r="C18" s="17">
        <v>1.0269981799502229E-2</v>
      </c>
      <c r="D18" s="17">
        <v>8.9183380837788533E-3</v>
      </c>
      <c r="E18" s="17">
        <v>7.5733128007707106E-3</v>
      </c>
      <c r="F18" s="17">
        <v>6.1455571088221391E-3</v>
      </c>
      <c r="G18" s="17">
        <v>4.6570944133476136E-3</v>
      </c>
      <c r="H18" s="23">
        <f t="shared" si="0"/>
        <v>-0.2241379310344831</v>
      </c>
      <c r="I18" s="23">
        <f t="shared" si="1"/>
        <v>-0.42786206896551748</v>
      </c>
      <c r="J18" s="23">
        <f t="shared" si="2"/>
        <v>-0.64817241379310342</v>
      </c>
      <c r="K18" s="25"/>
      <c r="L18" s="25"/>
    </row>
    <row r="19" spans="1:12" s="9" customFormat="1" x14ac:dyDescent="0.15">
      <c r="A19" s="13" t="s">
        <v>46</v>
      </c>
      <c r="B19" s="17">
        <v>9.7522775103029841E-3</v>
      </c>
      <c r="C19" s="17">
        <v>7.5664222062695585E-3</v>
      </c>
      <c r="D19" s="17">
        <v>6.5705969725666398E-3</v>
      </c>
      <c r="E19" s="17">
        <v>5.5796478776188683E-3</v>
      </c>
      <c r="F19" s="17">
        <v>4.5277470482317055E-3</v>
      </c>
      <c r="G19" s="17">
        <v>3.4311202564697042E-3</v>
      </c>
      <c r="H19" s="23">
        <f t="shared" si="0"/>
        <v>-0.22413793103448257</v>
      </c>
      <c r="I19" s="23">
        <f t="shared" si="1"/>
        <v>-0.42786206896551698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0.56999999999999995</v>
      </c>
      <c r="C20" s="17">
        <v>0.57999999999999996</v>
      </c>
      <c r="D20" s="17">
        <v>0.6</v>
      </c>
      <c r="E20" s="17">
        <v>0.61</v>
      </c>
      <c r="F20" s="17">
        <v>0.62</v>
      </c>
      <c r="G20" s="17">
        <v>0.64</v>
      </c>
      <c r="H20" s="23">
        <f t="shared" si="0"/>
        <v>1.7543859649122823E-2</v>
      </c>
      <c r="I20" s="23">
        <f t="shared" si="1"/>
        <v>7.0175438596491294E-2</v>
      </c>
      <c r="J20" s="23">
        <f t="shared" si="2"/>
        <v>0.12280701754385977</v>
      </c>
      <c r="K20" s="25"/>
      <c r="L20" s="25"/>
    </row>
    <row r="21" spans="1:12" x14ac:dyDescent="0.15">
      <c r="A21" s="6"/>
    </row>
    <row r="22" spans="1:12" ht="15" x14ac:dyDescent="0.2">
      <c r="A22"/>
    </row>
    <row r="23" spans="1:12" s="9" customFormat="1" x14ac:dyDescent="0.15">
      <c r="A23" s="8"/>
    </row>
  </sheetData>
  <hyperlinks>
    <hyperlink ref="A1" location="Contenido!A1" display="Contenido" xr:uid="{94CA7EF4-8744-41DE-AF72-372A553340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D7074-50A1-4D53-BFC1-F4CB7FBD231D}">
  <sheetPr>
    <tabColor rgb="FFD18316"/>
  </sheetPr>
  <dimension ref="A1:L23"/>
  <sheetViews>
    <sheetView zoomScale="70" zoomScaleNormal="70" workbookViewId="0">
      <selection activeCell="B5" sqref="B5:G20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15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3.1943664182905458</v>
      </c>
      <c r="C5" s="17">
        <v>2.8985513190268133</v>
      </c>
      <c r="D5" s="17">
        <v>2.79640312019102</v>
      </c>
      <c r="E5" s="17">
        <v>2.7023808959481195</v>
      </c>
      <c r="F5" s="17">
        <v>2.6327298260102503</v>
      </c>
      <c r="G5" s="17">
        <v>2.5388150788408943</v>
      </c>
      <c r="H5" s="23">
        <f>+(C5-B5)/B5</f>
        <v>-9.2605249532405537E-2</v>
      </c>
      <c r="I5" s="23">
        <f>(E5-B5)/B5</f>
        <v>-0.1540166211131504</v>
      </c>
      <c r="J5" s="23">
        <f>(G5-B5)/B5</f>
        <v>-0.20522108412361395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0.33875897034246955</v>
      </c>
      <c r="C6" s="17">
        <v>0.31750082868524193</v>
      </c>
      <c r="D6" s="17">
        <v>0.31179819546644333</v>
      </c>
      <c r="E6" s="17">
        <v>0.30744393558046001</v>
      </c>
      <c r="F6" s="17">
        <v>0.3045134511466937</v>
      </c>
      <c r="G6" s="17">
        <v>0.29912824067245264</v>
      </c>
      <c r="H6" s="23">
        <f t="shared" ref="H6:H20" si="0">+(C6-B6)/B6</f>
        <v>-6.2752999974396609E-2</v>
      </c>
      <c r="I6" s="23">
        <f t="shared" ref="I6:I20" si="1">(E6-B6)/B6</f>
        <v>-9.2440459156997348E-2</v>
      </c>
      <c r="J6" s="23">
        <f t="shared" ref="J6:J20" si="2">(G6-B6)/B6</f>
        <v>-0.11698798597112302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0.34375561184065245</v>
      </c>
      <c r="C7" s="17">
        <v>0.34375561184065245</v>
      </c>
      <c r="D7" s="17">
        <v>0.3489119460182622</v>
      </c>
      <c r="E7" s="17">
        <v>0.35647456947875655</v>
      </c>
      <c r="F7" s="17">
        <v>0.363005926103729</v>
      </c>
      <c r="G7" s="17">
        <v>0.36919352711686071</v>
      </c>
      <c r="H7" s="23">
        <f t="shared" si="0"/>
        <v>0</v>
      </c>
      <c r="I7" s="23">
        <f t="shared" si="1"/>
        <v>3.699999999999988E-2</v>
      </c>
      <c r="J7" s="23">
        <f t="shared" si="2"/>
        <v>7.3999999999999927E-2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0.25887342755443871</v>
      </c>
      <c r="C8" s="17">
        <v>0.18121139928810709</v>
      </c>
      <c r="D8" s="17">
        <v>0.17079174382904097</v>
      </c>
      <c r="E8" s="17">
        <v>0.16107104662437177</v>
      </c>
      <c r="F8" s="17">
        <v>0.15035368672361804</v>
      </c>
      <c r="G8" s="17">
        <v>0.13901503059673356</v>
      </c>
      <c r="H8" s="23">
        <f t="shared" si="0"/>
        <v>-0.30000000000000004</v>
      </c>
      <c r="I8" s="23">
        <f t="shared" si="1"/>
        <v>-0.37779999999999997</v>
      </c>
      <c r="J8" s="23">
        <f t="shared" si="2"/>
        <v>-0.46300000000000008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2.0768084179678494E-3</v>
      </c>
      <c r="C9" s="17">
        <v>1.7629889511234567E-3</v>
      </c>
      <c r="D9" s="17">
        <v>1.6301704059667782E-3</v>
      </c>
      <c r="E9" s="17">
        <v>1.5027887551973878E-3</v>
      </c>
      <c r="F9" s="17">
        <v>1.3646262969048513E-3</v>
      </c>
      <c r="G9" s="17">
        <v>1.2193659187248358E-3</v>
      </c>
      <c r="H9" s="23">
        <f t="shared" si="0"/>
        <v>-0.15110660382986316</v>
      </c>
      <c r="I9" s="23">
        <f t="shared" si="1"/>
        <v>-0.27639509634313697</v>
      </c>
      <c r="J9" s="23">
        <f t="shared" si="2"/>
        <v>-0.41286547753981967</v>
      </c>
      <c r="K9" s="25"/>
      <c r="L9" s="25"/>
    </row>
    <row r="10" spans="1:12" ht="18" x14ac:dyDescent="0.15">
      <c r="A10" s="13" t="s">
        <v>37</v>
      </c>
      <c r="B10" s="17">
        <v>6.3751477919419819E-2</v>
      </c>
      <c r="C10" s="17">
        <v>6.2489072416064981E-2</v>
      </c>
      <c r="D10" s="17">
        <v>6.2785737709353348E-2</v>
      </c>
      <c r="E10" s="17">
        <v>6.3492053588480368E-2</v>
      </c>
      <c r="F10" s="17">
        <v>6.3988810154050557E-2</v>
      </c>
      <c r="G10" s="17">
        <v>6.4401616753647556E-2</v>
      </c>
      <c r="H10" s="23">
        <f t="shared" si="0"/>
        <v>-1.980198019801965E-2</v>
      </c>
      <c r="I10" s="23">
        <f t="shared" si="1"/>
        <v>-4.06930693069353E-3</v>
      </c>
      <c r="J10" s="23">
        <f t="shared" si="2"/>
        <v>1.0198019801980046E-2</v>
      </c>
      <c r="K10" s="25"/>
      <c r="L10" s="25"/>
    </row>
    <row r="11" spans="1:12" ht="18" x14ac:dyDescent="0.15">
      <c r="A11" s="13" t="s">
        <v>38</v>
      </c>
      <c r="B11" s="17">
        <v>3.1263413841364635E-3</v>
      </c>
      <c r="C11" s="17">
        <v>2.9888470552823549E-3</v>
      </c>
      <c r="D11" s="17">
        <v>2.9659928390568979E-3</v>
      </c>
      <c r="E11" s="17">
        <v>2.9584068004016965E-3</v>
      </c>
      <c r="F11" s="17">
        <v>2.9572236138964811E-3</v>
      </c>
      <c r="G11" s="17">
        <v>2.9392283425928498E-3</v>
      </c>
      <c r="H11" s="23">
        <f t="shared" si="0"/>
        <v>-4.3979307426813961E-2</v>
      </c>
      <c r="I11" s="23">
        <f t="shared" si="1"/>
        <v>-5.3716009578126299E-2</v>
      </c>
      <c r="J11" s="23">
        <f t="shared" si="2"/>
        <v>-5.9850482897694395E-2</v>
      </c>
      <c r="K11" s="25"/>
      <c r="L11" s="25"/>
    </row>
    <row r="12" spans="1:12" ht="18" x14ac:dyDescent="0.15">
      <c r="A12" s="13" t="s">
        <v>39</v>
      </c>
      <c r="B12" s="17">
        <v>6.9094702567878905E-3</v>
      </c>
      <c r="C12" s="17">
        <v>1.1635681752048372E-2</v>
      </c>
      <c r="D12" s="17">
        <v>1.7719570692863274E-2</v>
      </c>
      <c r="E12" s="17">
        <v>2.4141078433961748E-2</v>
      </c>
      <c r="F12" s="17">
        <v>2.7585870951765856E-2</v>
      </c>
      <c r="G12" s="17">
        <v>3.2595691942636784E-2</v>
      </c>
      <c r="H12" s="23">
        <f t="shared" si="0"/>
        <v>0.68401937046004835</v>
      </c>
      <c r="I12" s="23">
        <f t="shared" si="1"/>
        <v>2.4939116222760287</v>
      </c>
      <c r="J12" s="23">
        <f t="shared" si="2"/>
        <v>3.7175384987893465</v>
      </c>
      <c r="K12" s="25"/>
      <c r="L12" s="25"/>
    </row>
    <row r="13" spans="1:12" ht="18" x14ac:dyDescent="0.15">
      <c r="A13" s="13" t="s">
        <v>40</v>
      </c>
      <c r="B13" s="17">
        <v>2.2752402997417667E-2</v>
      </c>
      <c r="C13" s="17">
        <v>2.5786056730406685E-2</v>
      </c>
      <c r="D13" s="17">
        <v>3.0278392300007919E-2</v>
      </c>
      <c r="E13" s="17">
        <v>3.1721147454521946E-2</v>
      </c>
      <c r="F13" s="17">
        <v>3.5092092921723814E-2</v>
      </c>
      <c r="G13" s="17">
        <v>3.8201739680724198E-2</v>
      </c>
      <c r="H13" s="23">
        <f t="shared" si="0"/>
        <v>0.13333333333333311</v>
      </c>
      <c r="I13" s="23">
        <f t="shared" si="1"/>
        <v>0.39418888888888814</v>
      </c>
      <c r="J13" s="23">
        <f t="shared" si="2"/>
        <v>0.6790199999999994</v>
      </c>
      <c r="K13" s="25"/>
      <c r="L13" s="25"/>
    </row>
    <row r="14" spans="1:12" ht="18" x14ac:dyDescent="0.15">
      <c r="A14" s="13" t="s">
        <v>41</v>
      </c>
      <c r="B14" s="17">
        <v>4.4981218144316357E-3</v>
      </c>
      <c r="C14" s="17">
        <v>4.0958606010960833E-3</v>
      </c>
      <c r="D14" s="17">
        <v>4.031031166951405E-3</v>
      </c>
      <c r="E14" s="17">
        <v>3.9975599466697776E-3</v>
      </c>
      <c r="F14" s="17">
        <v>3.8230905715410904E-3</v>
      </c>
      <c r="G14" s="17">
        <v>3.6997116999818243E-3</v>
      </c>
      <c r="H14" s="23">
        <f t="shared" si="0"/>
        <v>-8.9428706009016909E-2</v>
      </c>
      <c r="I14" s="23">
        <f t="shared" si="1"/>
        <v>-0.11128241706480042</v>
      </c>
      <c r="J14" s="23">
        <f t="shared" si="2"/>
        <v>-0.17749855326021119</v>
      </c>
      <c r="K14" s="25"/>
      <c r="L14" s="25"/>
    </row>
    <row r="15" spans="1:12" ht="18" x14ac:dyDescent="0.15">
      <c r="A15" s="13" t="s">
        <v>42</v>
      </c>
      <c r="B15" s="17">
        <v>190.18279785509014</v>
      </c>
      <c r="C15" s="17">
        <v>180.67365796233565</v>
      </c>
      <c r="D15" s="17">
        <v>177.04116652330333</v>
      </c>
      <c r="E15" s="17">
        <v>175.24366739386159</v>
      </c>
      <c r="F15" s="17">
        <v>174.28190870870139</v>
      </c>
      <c r="G15" s="17">
        <v>171.06939202465486</v>
      </c>
      <c r="H15" s="23">
        <f t="shared" si="0"/>
        <v>-4.9999999999999913E-2</v>
      </c>
      <c r="I15" s="23">
        <f t="shared" si="1"/>
        <v>-7.8551428571428605E-2</v>
      </c>
      <c r="J15" s="23">
        <f t="shared" si="2"/>
        <v>-0.10050018217209503</v>
      </c>
      <c r="K15" s="25"/>
      <c r="L15" s="25"/>
    </row>
    <row r="16" spans="1:12" ht="18" x14ac:dyDescent="0.15">
      <c r="A16" s="13" t="s">
        <v>43</v>
      </c>
      <c r="B16" s="17">
        <v>2.7940572083020488E-3</v>
      </c>
      <c r="C16" s="17">
        <v>2.7677634554750369E-3</v>
      </c>
      <c r="D16" s="17">
        <v>2.7811871082340902E-3</v>
      </c>
      <c r="E16" s="17">
        <v>2.83859882559101E-3</v>
      </c>
      <c r="F16" s="17">
        <v>2.8701485612199701E-3</v>
      </c>
      <c r="G16" s="17">
        <v>2.9027223693274548E-3</v>
      </c>
      <c r="H16" s="23">
        <f t="shared" si="0"/>
        <v>-9.410599306587053E-3</v>
      </c>
      <c r="I16" s="23">
        <f t="shared" si="1"/>
        <v>1.5941555225359609E-2</v>
      </c>
      <c r="J16" s="23">
        <f t="shared" si="2"/>
        <v>3.8891530460624324E-2</v>
      </c>
      <c r="K16" s="25"/>
      <c r="L16" s="25"/>
    </row>
    <row r="17" spans="1:12" ht="18" x14ac:dyDescent="0.15">
      <c r="A17" s="13" t="s">
        <v>44</v>
      </c>
      <c r="B17" s="17">
        <v>8.5467942374445716E-2</v>
      </c>
      <c r="C17" s="17">
        <v>8.5467942374445716E-2</v>
      </c>
      <c r="D17" s="17">
        <v>8.6749961510062396E-2</v>
      </c>
      <c r="E17" s="17">
        <v>8.8630256242300198E-2</v>
      </c>
      <c r="F17" s="17">
        <v>9.0254147147414671E-2</v>
      </c>
      <c r="G17" s="17">
        <v>9.1792570110154709E-2</v>
      </c>
      <c r="H17" s="23">
        <f t="shared" si="0"/>
        <v>0</v>
      </c>
      <c r="I17" s="23">
        <f t="shared" si="1"/>
        <v>3.6999999999999894E-2</v>
      </c>
      <c r="J17" s="23">
        <f t="shared" si="2"/>
        <v>7.4000000000000121E-2</v>
      </c>
      <c r="K17" s="25"/>
      <c r="L17" s="25"/>
    </row>
    <row r="18" spans="1:12" ht="18" x14ac:dyDescent="0.15">
      <c r="A18" s="13" t="s">
        <v>45</v>
      </c>
      <c r="B18" s="17">
        <v>1.2130213825286056E-2</v>
      </c>
      <c r="C18" s="17">
        <v>9.4113727954805611E-3</v>
      </c>
      <c r="D18" s="17">
        <v>8.172731564786484E-3</v>
      </c>
      <c r="E18" s="17">
        <v>6.9401554410050449E-3</v>
      </c>
      <c r="F18" s="17">
        <v>5.6317654808155709E-3</v>
      </c>
      <c r="G18" s="17">
        <v>4.2677438503239216E-3</v>
      </c>
      <c r="H18" s="23">
        <f t="shared" si="0"/>
        <v>-0.22413793103448271</v>
      </c>
      <c r="I18" s="23">
        <f t="shared" si="1"/>
        <v>-0.42786206896551704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1.271921319195261E-2</v>
      </c>
      <c r="C19" s="17">
        <v>9.8683550627218508E-3</v>
      </c>
      <c r="D19" s="17">
        <v>8.5695698880780737E-3</v>
      </c>
      <c r="E19" s="17">
        <v>7.2771443200302663E-3</v>
      </c>
      <c r="F19" s="17">
        <v>5.9052236695327602E-3</v>
      </c>
      <c r="G19" s="17">
        <v>4.4749700757756063E-3</v>
      </c>
      <c r="H19" s="23">
        <f t="shared" si="0"/>
        <v>-0.2241379310344829</v>
      </c>
      <c r="I19" s="23">
        <f t="shared" si="1"/>
        <v>-0.42786206896551721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v>8.685387984460026E-2</v>
      </c>
      <c r="C20" s="17">
        <v>9.2544057724613771E-2</v>
      </c>
      <c r="D20" s="17">
        <v>0.1016508235499842</v>
      </c>
      <c r="E20" s="17">
        <v>0.10916271466672101</v>
      </c>
      <c r="F20" s="17">
        <v>0.11545931648537114</v>
      </c>
      <c r="G20" s="17">
        <v>0.12278710379223877</v>
      </c>
      <c r="H20" s="23">
        <f t="shared" si="0"/>
        <v>6.5514377598265366E-2</v>
      </c>
      <c r="I20" s="23">
        <f t="shared" si="1"/>
        <v>0.25685478716708932</v>
      </c>
      <c r="J20" s="23">
        <f t="shared" si="2"/>
        <v>0.41372042345063403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  <c r="H23" s="6"/>
    </row>
  </sheetData>
  <hyperlinks>
    <hyperlink ref="A1" location="Contenido!A1" display="Contenido" xr:uid="{59DBD427-DB86-43D7-8CFB-0D8DD7BFD71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2FDC-6220-4DB3-BE99-A16494F1DE60}">
  <sheetPr>
    <tabColor rgb="FFD18316"/>
  </sheetPr>
  <dimension ref="A1:L23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16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11.175692122688943</v>
      </c>
      <c r="C5" s="17">
        <v>9.5855183843451304</v>
      </c>
      <c r="D5" s="17">
        <v>8.946476393607373</v>
      </c>
      <c r="E5" s="17">
        <v>8.3091452607552707</v>
      </c>
      <c r="F5" s="17">
        <v>7.8208103995670779</v>
      </c>
      <c r="G5" s="17">
        <v>7.2290415890344075</v>
      </c>
      <c r="H5" s="23">
        <f>+(C5-B5)/B5</f>
        <v>-0.14228861361663986</v>
      </c>
      <c r="I5" s="23">
        <f>(E5-B5)/B5</f>
        <v>-0.25649837437038869</v>
      </c>
      <c r="J5" s="23">
        <f>(G5-B5)/B5</f>
        <v>-0.35314596092371109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1.7222279987613698</v>
      </c>
      <c r="C6" s="17">
        <v>1.5688599860086714</v>
      </c>
      <c r="D6" s="17">
        <v>1.5168915264962659</v>
      </c>
      <c r="E6" s="17">
        <v>1.4695986109173913</v>
      </c>
      <c r="F6" s="17">
        <v>1.4347429010893917</v>
      </c>
      <c r="G6" s="17">
        <v>1.3828992043910875</v>
      </c>
      <c r="H6" s="23">
        <f t="shared" ref="H6:H20" si="0">+(C6-B6)/B6</f>
        <v>-8.9052095810195298E-2</v>
      </c>
      <c r="I6" s="23">
        <f t="shared" ref="I6:I20" si="1">(E6-B6)/B6</f>
        <v>-0.14668753964380449</v>
      </c>
      <c r="J6" s="23">
        <f t="shared" ref="J6:J20" si="2">(G6-B6)/B6</f>
        <v>-0.19702896167889986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0.60918102132683749</v>
      </c>
      <c r="C7" s="17">
        <v>0.60918102132683749</v>
      </c>
      <c r="D7" s="17">
        <v>0.61831873664673997</v>
      </c>
      <c r="E7" s="17">
        <v>0.63172071911593053</v>
      </c>
      <c r="F7" s="17">
        <v>0.64329515852114039</v>
      </c>
      <c r="G7" s="17">
        <v>0.65426041690502346</v>
      </c>
      <c r="H7" s="23">
        <f t="shared" si="0"/>
        <v>0</v>
      </c>
      <c r="I7" s="23">
        <f t="shared" si="1"/>
        <v>3.7000000000000081E-2</v>
      </c>
      <c r="J7" s="23">
        <f t="shared" si="2"/>
        <v>7.3999999999999982E-2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0.72843750031432231</v>
      </c>
      <c r="C8" s="17">
        <v>0.50990625022002556</v>
      </c>
      <c r="D8" s="17">
        <v>0.48058664083237407</v>
      </c>
      <c r="E8" s="17">
        <v>0.45323381269557117</v>
      </c>
      <c r="F8" s="17">
        <v>0.42307650018255838</v>
      </c>
      <c r="G8" s="17">
        <v>0.39117093766879113</v>
      </c>
      <c r="H8" s="23">
        <f t="shared" si="0"/>
        <v>-0.3000000000000001</v>
      </c>
      <c r="I8" s="23">
        <f t="shared" si="1"/>
        <v>-0.37780000000000025</v>
      </c>
      <c r="J8" s="23">
        <f t="shared" si="2"/>
        <v>-0.46299999999999991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1.9321366747739345E-3</v>
      </c>
      <c r="C9" s="17">
        <v>1.6401780637137207E-3</v>
      </c>
      <c r="D9" s="17">
        <v>1.5166117395563666E-3</v>
      </c>
      <c r="E9" s="17">
        <v>1.398103572401685E-3</v>
      </c>
      <c r="F9" s="17">
        <v>1.2695655953623086E-3</v>
      </c>
      <c r="G9" s="17">
        <v>1.1344241438711949E-3</v>
      </c>
      <c r="H9" s="23">
        <f t="shared" si="0"/>
        <v>-0.15110660382986305</v>
      </c>
      <c r="I9" s="23">
        <f t="shared" si="1"/>
        <v>-0.27639509634313675</v>
      </c>
      <c r="J9" s="23">
        <f t="shared" si="2"/>
        <v>-0.41286547753981961</v>
      </c>
      <c r="K9" s="25"/>
      <c r="L9" s="25"/>
    </row>
    <row r="10" spans="1:12" ht="18" x14ac:dyDescent="0.15">
      <c r="A10" s="13" t="s">
        <v>37</v>
      </c>
      <c r="B10" s="17">
        <v>6.8444588372502349E-2</v>
      </c>
      <c r="C10" s="17">
        <v>6.7089249988888433E-2</v>
      </c>
      <c r="D10" s="17">
        <v>6.7407754509037687E-2</v>
      </c>
      <c r="E10" s="17">
        <v>6.8166066334669678E-2</v>
      </c>
      <c r="F10" s="17">
        <v>6.8699391988621766E-2</v>
      </c>
      <c r="G10" s="17">
        <v>6.9142587640063521E-2</v>
      </c>
      <c r="H10" s="23">
        <f t="shared" si="0"/>
        <v>-1.980198019801992E-2</v>
      </c>
      <c r="I10" s="23">
        <f t="shared" si="1"/>
        <v>-4.0693069306932559E-3</v>
      </c>
      <c r="J10" s="23">
        <f t="shared" si="2"/>
        <v>1.0198019801980341E-2</v>
      </c>
      <c r="K10" s="25"/>
      <c r="L10" s="25"/>
    </row>
    <row r="11" spans="1:12" ht="18" x14ac:dyDescent="0.15">
      <c r="A11" s="13" t="s">
        <v>38</v>
      </c>
      <c r="B11" s="17">
        <v>7.6993734560628201E-3</v>
      </c>
      <c r="C11" s="17">
        <v>6.6813727531126067E-3</v>
      </c>
      <c r="D11" s="17">
        <v>6.2804429711068024E-3</v>
      </c>
      <c r="E11" s="17">
        <v>5.8844227204212273E-3</v>
      </c>
      <c r="F11" s="17">
        <v>5.5821525226965605E-3</v>
      </c>
      <c r="G11" s="17">
        <v>5.170854434679943E-3</v>
      </c>
      <c r="H11" s="23">
        <f t="shared" si="0"/>
        <v>-0.13221864204399589</v>
      </c>
      <c r="I11" s="23">
        <f t="shared" si="1"/>
        <v>-0.23572706870224902</v>
      </c>
      <c r="J11" s="23">
        <f t="shared" si="2"/>
        <v>-0.32840581585139395</v>
      </c>
      <c r="K11" s="25"/>
      <c r="L11" s="25"/>
    </row>
    <row r="12" spans="1:12" ht="18" x14ac:dyDescent="0.15">
      <c r="A12" s="13" t="s">
        <v>39</v>
      </c>
      <c r="B12" s="17">
        <v>2.0558131315588625E-2</v>
      </c>
      <c r="C12" s="17">
        <v>3.4620291355912568E-2</v>
      </c>
      <c r="D12" s="17">
        <v>5.2722024644634338E-2</v>
      </c>
      <c r="E12" s="17">
        <v>7.1828293935811888E-2</v>
      </c>
      <c r="F12" s="17">
        <v>8.2077776791086007E-2</v>
      </c>
      <c r="G12" s="17">
        <v>9.6983775944456244E-2</v>
      </c>
      <c r="H12" s="23">
        <f t="shared" si="0"/>
        <v>0.68401937046004868</v>
      </c>
      <c r="I12" s="23">
        <f t="shared" si="1"/>
        <v>2.4939116222760291</v>
      </c>
      <c r="J12" s="23">
        <f t="shared" si="2"/>
        <v>3.7175384987893474</v>
      </c>
      <c r="K12" s="25"/>
      <c r="L12" s="25"/>
    </row>
    <row r="13" spans="1:12" ht="18" x14ac:dyDescent="0.15">
      <c r="A13" s="13" t="s">
        <v>40</v>
      </c>
      <c r="B13" s="17">
        <v>7.9523249422790723E-2</v>
      </c>
      <c r="C13" s="17">
        <v>9.0126349345829512E-2</v>
      </c>
      <c r="D13" s="17">
        <v>0.1058277731485294</v>
      </c>
      <c r="E13" s="17">
        <v>0.11087043075359457</v>
      </c>
      <c r="F13" s="17">
        <v>0.1226524186697432</v>
      </c>
      <c r="G13" s="17">
        <v>0.13352112624585408</v>
      </c>
      <c r="H13" s="23">
        <f t="shared" si="0"/>
        <v>0.13333333333333366</v>
      </c>
      <c r="I13" s="23">
        <f t="shared" si="1"/>
        <v>0.39418888888888881</v>
      </c>
      <c r="J13" s="23">
        <f t="shared" si="2"/>
        <v>0.67901999999999996</v>
      </c>
      <c r="K13" s="25"/>
      <c r="L13" s="25"/>
    </row>
    <row r="14" spans="1:12" ht="18" x14ac:dyDescent="0.15">
      <c r="A14" s="13" t="s">
        <v>41</v>
      </c>
      <c r="B14" s="17">
        <v>2.5673999879003772E-2</v>
      </c>
      <c r="C14" s="17">
        <v>2.3378007291748808E-2</v>
      </c>
      <c r="D14" s="17">
        <v>2.3007979321619982E-2</v>
      </c>
      <c r="E14" s="17">
        <v>2.2816935116746824E-2</v>
      </c>
      <c r="F14" s="17">
        <v>2.182111354927117E-2</v>
      </c>
      <c r="G14" s="17">
        <v>2.1116902044077769E-2</v>
      </c>
      <c r="H14" s="23">
        <f t="shared" si="0"/>
        <v>-8.9428706009016895E-2</v>
      </c>
      <c r="I14" s="23">
        <f t="shared" si="1"/>
        <v>-0.11128241706480099</v>
      </c>
      <c r="J14" s="23">
        <f t="shared" si="2"/>
        <v>-0.17749855326021105</v>
      </c>
      <c r="K14" s="25"/>
      <c r="L14" s="25"/>
    </row>
    <row r="15" spans="1:12" ht="18" x14ac:dyDescent="0.15">
      <c r="A15" s="13" t="s">
        <v>42</v>
      </c>
      <c r="B15" s="17">
        <v>160.07699446142269</v>
      </c>
      <c r="C15" s="17">
        <v>152.07314473835154</v>
      </c>
      <c r="D15" s="17">
        <v>149.01567414413839</v>
      </c>
      <c r="E15" s="17">
        <v>147.50271786505724</v>
      </c>
      <c r="F15" s="17">
        <v>147.15958840372863</v>
      </c>
      <c r="G15" s="17">
        <v>144.44701406674127</v>
      </c>
      <c r="H15" s="23">
        <f t="shared" si="0"/>
        <v>-5.0000000000000044E-2</v>
      </c>
      <c r="I15" s="23">
        <f t="shared" si="1"/>
        <v>-7.8551428571428814E-2</v>
      </c>
      <c r="J15" s="23">
        <f t="shared" si="2"/>
        <v>-9.7640391408323923E-2</v>
      </c>
      <c r="K15" s="25"/>
      <c r="L15" s="25"/>
    </row>
    <row r="16" spans="1:12" ht="18" x14ac:dyDescent="0.15">
      <c r="A16" s="13" t="s">
        <v>43</v>
      </c>
      <c r="B16" s="17">
        <v>2.7351905186153045E-3</v>
      </c>
      <c r="C16" s="17">
        <v>2.7094507366174385E-3</v>
      </c>
      <c r="D16" s="17">
        <v>2.7225915726900333E-3</v>
      </c>
      <c r="E16" s="17">
        <v>2.7787937093196897E-3</v>
      </c>
      <c r="F16" s="17">
        <v>2.8096787382663919E-3</v>
      </c>
      <c r="G16" s="17">
        <v>2.8415662639856413E-3</v>
      </c>
      <c r="H16" s="23">
        <f t="shared" si="0"/>
        <v>-9.4105993065875717E-3</v>
      </c>
      <c r="I16" s="23">
        <f t="shared" si="1"/>
        <v>1.5941555225359342E-2</v>
      </c>
      <c r="J16" s="23">
        <f t="shared" si="2"/>
        <v>3.8891530460623887E-2</v>
      </c>
      <c r="K16" s="25"/>
      <c r="L16" s="25"/>
    </row>
    <row r="17" spans="1:12" ht="18" x14ac:dyDescent="0.15">
      <c r="A17" s="13" t="s">
        <v>44</v>
      </c>
      <c r="B17" s="17">
        <v>0.38933364462399683</v>
      </c>
      <c r="C17" s="17">
        <v>0.38933364462399683</v>
      </c>
      <c r="D17" s="17">
        <v>0.39517364929335674</v>
      </c>
      <c r="E17" s="17">
        <v>0.40373898947508469</v>
      </c>
      <c r="F17" s="17">
        <v>0.41113632872294065</v>
      </c>
      <c r="G17" s="17">
        <v>0.41814433432617265</v>
      </c>
      <c r="H17" s="23">
        <f t="shared" si="0"/>
        <v>0</v>
      </c>
      <c r="I17" s="23">
        <f t="shared" si="1"/>
        <v>3.6999999999999922E-2</v>
      </c>
      <c r="J17" s="23">
        <f t="shared" si="2"/>
        <v>7.4000000000000135E-2</v>
      </c>
      <c r="K17" s="25"/>
      <c r="L17" s="25"/>
    </row>
    <row r="18" spans="1:12" ht="18" x14ac:dyDescent="0.15">
      <c r="A18" s="13" t="s">
        <v>45</v>
      </c>
      <c r="B18" s="17">
        <v>1.0454666507701516E-2</v>
      </c>
      <c r="C18" s="17">
        <v>8.1113791870097932E-3</v>
      </c>
      <c r="D18" s="17">
        <v>7.0438315595638947E-3</v>
      </c>
      <c r="E18" s="17">
        <v>5.9815112653718435E-3</v>
      </c>
      <c r="F18" s="17">
        <v>4.8538493055066637E-3</v>
      </c>
      <c r="G18" s="17">
        <v>3.6782400820027077E-3</v>
      </c>
      <c r="H18" s="23">
        <f t="shared" si="0"/>
        <v>-0.2241379310344831</v>
      </c>
      <c r="I18" s="23">
        <f t="shared" si="1"/>
        <v>-0.42786206896551754</v>
      </c>
      <c r="J18" s="23">
        <f t="shared" si="2"/>
        <v>-0.64817241379310364</v>
      </c>
      <c r="K18" s="25"/>
      <c r="L18" s="25"/>
    </row>
    <row r="19" spans="1:12" s="9" customFormat="1" x14ac:dyDescent="0.15">
      <c r="A19" s="13" t="s">
        <v>46</v>
      </c>
      <c r="B19" s="17">
        <v>5.1774320482420338E-2</v>
      </c>
      <c r="C19" s="17">
        <v>4.0169731408774396E-2</v>
      </c>
      <c r="D19" s="17">
        <v>3.4882948425030688E-2</v>
      </c>
      <c r="E19" s="17">
        <v>2.9622052601528195E-2</v>
      </c>
      <c r="F19" s="17">
        <v>2.4037567275010607E-2</v>
      </c>
      <c r="G19" s="17">
        <v>1.8215634202832238E-2</v>
      </c>
      <c r="H19" s="23">
        <f t="shared" si="0"/>
        <v>-0.22413793103448285</v>
      </c>
      <c r="I19" s="23">
        <f t="shared" si="1"/>
        <v>-0.42786206896551765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0.52278839869744276</v>
      </c>
      <c r="C20" s="17">
        <f t="shared" ref="C20:G20" si="3">C11+C12+C13+C14+C17</f>
        <v>0.54413966537060032</v>
      </c>
      <c r="D20" s="17">
        <f t="shared" si="3"/>
        <v>0.58301186937924732</v>
      </c>
      <c r="E20" s="17">
        <f t="shared" si="3"/>
        <v>0.61513907200165918</v>
      </c>
      <c r="F20" s="17">
        <f t="shared" si="3"/>
        <v>0.64326979025573761</v>
      </c>
      <c r="G20" s="17">
        <f t="shared" si="3"/>
        <v>0.67493699299524068</v>
      </c>
      <c r="H20" s="23">
        <f t="shared" si="0"/>
        <v>4.0841125637744578E-2</v>
      </c>
      <c r="I20" s="23">
        <f t="shared" si="1"/>
        <v>0.17665019639745913</v>
      </c>
      <c r="J20" s="23">
        <f t="shared" si="2"/>
        <v>0.29103284364550719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</row>
  </sheetData>
  <hyperlinks>
    <hyperlink ref="A1" location="Contenido!A1" display="Contenido" xr:uid="{8024875A-C68E-44CA-9E4C-41CE122B8C69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3BCA3-2C11-453F-90B8-770E763C4347}">
  <sheetPr>
    <tabColor rgb="FFD18316"/>
  </sheetPr>
  <dimension ref="A1:L32"/>
  <sheetViews>
    <sheetView zoomScale="70" zoomScaleNormal="70" workbookViewId="0">
      <selection activeCell="B5" sqref="B5:G19"/>
    </sheetView>
  </sheetViews>
  <sheetFormatPr baseColWidth="10" defaultColWidth="27.66406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2" width="15.6640625" style="6" customWidth="1"/>
    <col min="13" max="16384" width="27.66406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17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11.029933450514104</v>
      </c>
      <c r="C5" s="17">
        <v>10.234059027486369</v>
      </c>
      <c r="D5" s="17">
        <v>9.9957698256822596</v>
      </c>
      <c r="E5" s="17">
        <v>9.7963927675394586</v>
      </c>
      <c r="F5" s="17">
        <v>9.6552779800806583</v>
      </c>
      <c r="G5" s="17">
        <v>9.4389257475008943</v>
      </c>
      <c r="H5" s="23">
        <f>+(C5-B5)/B5</f>
        <v>-7.2155868083740748E-2</v>
      </c>
      <c r="I5" s="23">
        <f>(E5-B5)/B5</f>
        <v>-0.11183573214733677</v>
      </c>
      <c r="J5" s="23">
        <f>(G5-B5)/B5</f>
        <v>-0.14424454237655016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0.88942316562326706</v>
      </c>
      <c r="C6" s="17">
        <v>0.84636886860932814</v>
      </c>
      <c r="D6" s="17">
        <v>0.83786925220656527</v>
      </c>
      <c r="E6" s="17">
        <v>0.83352382988342066</v>
      </c>
      <c r="F6" s="17">
        <v>0.83145199708714557</v>
      </c>
      <c r="G6" s="17">
        <v>0.82420525483118923</v>
      </c>
      <c r="H6" s="23">
        <f t="shared" ref="H6:H20" si="0">+(C6-B6)/B6</f>
        <v>-4.8406988571934081E-2</v>
      </c>
      <c r="I6" s="23">
        <f t="shared" ref="I6:I20" si="1">(E6-B6)/B6</f>
        <v>-6.2848976618092356E-2</v>
      </c>
      <c r="J6" s="23">
        <f t="shared" ref="J6:J20" si="2">(G6-B6)/B6</f>
        <v>-7.3326076172500088E-2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0.47724296751337519</v>
      </c>
      <c r="C7" s="17">
        <v>0.47724296751337519</v>
      </c>
      <c r="D7" s="17">
        <v>0.48440161202607579</v>
      </c>
      <c r="E7" s="17">
        <v>0.49490095731137013</v>
      </c>
      <c r="F7" s="17">
        <v>0.50396857369412429</v>
      </c>
      <c r="G7" s="17">
        <v>0.512558947109365</v>
      </c>
      <c r="H7" s="23">
        <f t="shared" si="0"/>
        <v>0</v>
      </c>
      <c r="I7" s="23">
        <f t="shared" si="1"/>
        <v>3.7000000000000109E-2</v>
      </c>
      <c r="J7" s="23">
        <f t="shared" si="2"/>
        <v>7.4000000000000093E-2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0.57977492343948989</v>
      </c>
      <c r="C8" s="17">
        <v>0.40584244640764294</v>
      </c>
      <c r="D8" s="17">
        <v>0.38250650573920353</v>
      </c>
      <c r="E8" s="17">
        <v>0.36073595736405067</v>
      </c>
      <c r="F8" s="17">
        <v>0.33673327553365573</v>
      </c>
      <c r="G8" s="17">
        <v>0.31133913388700607</v>
      </c>
      <c r="H8" s="23">
        <f t="shared" si="0"/>
        <v>-0.3</v>
      </c>
      <c r="I8" s="23">
        <f t="shared" si="1"/>
        <v>-0.37779999999999986</v>
      </c>
      <c r="J8" s="23">
        <f t="shared" si="2"/>
        <v>-0.46300000000000002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3.1095229906082122E-3</v>
      </c>
      <c r="C9" s="17">
        <v>2.6396535319665264E-3</v>
      </c>
      <c r="D9" s="17">
        <v>2.4407895846853666E-3</v>
      </c>
      <c r="E9" s="17">
        <v>2.2500660840378572E-3</v>
      </c>
      <c r="F9" s="17">
        <v>2.0432009072682187E-3</v>
      </c>
      <c r="G9" s="17">
        <v>1.8257082961697054E-3</v>
      </c>
      <c r="H9" s="23">
        <f t="shared" si="0"/>
        <v>-0.15110660382986293</v>
      </c>
      <c r="I9" s="23">
        <f t="shared" si="1"/>
        <v>-0.27639509634313658</v>
      </c>
      <c r="J9" s="23">
        <f t="shared" si="2"/>
        <v>-0.41286547753981939</v>
      </c>
      <c r="K9" s="25"/>
      <c r="L9" s="25"/>
    </row>
    <row r="10" spans="1:12" ht="18" x14ac:dyDescent="0.15">
      <c r="A10" s="13" t="s">
        <v>37</v>
      </c>
      <c r="B10" s="17">
        <v>6.9016741441044555E-2</v>
      </c>
      <c r="C10" s="17">
        <v>6.7650073293697141E-2</v>
      </c>
      <c r="D10" s="17">
        <v>6.7971240308323758E-2</v>
      </c>
      <c r="E10" s="17">
        <v>6.8735891136764649E-2</v>
      </c>
      <c r="F10" s="17">
        <v>6.9273675052745884E-2</v>
      </c>
      <c r="G10" s="17">
        <v>6.9720575536928467E-2</v>
      </c>
      <c r="H10" s="23">
        <f t="shared" si="0"/>
        <v>-1.9801980198019754E-2</v>
      </c>
      <c r="I10" s="23">
        <f t="shared" si="1"/>
        <v>-4.0693069306932403E-3</v>
      </c>
      <c r="J10" s="23">
        <f t="shared" si="2"/>
        <v>1.0198019801980091E-2</v>
      </c>
      <c r="K10" s="25"/>
      <c r="L10" s="25"/>
    </row>
    <row r="11" spans="1:12" ht="18" x14ac:dyDescent="0.15">
      <c r="A11" s="13" t="s">
        <v>38</v>
      </c>
      <c r="B11" s="17">
        <v>5.4464058693379164E-3</v>
      </c>
      <c r="C11" s="17">
        <v>5.1970626802653888E-3</v>
      </c>
      <c r="D11" s="17">
        <v>5.1522697540668273E-3</v>
      </c>
      <c r="E11" s="17">
        <v>5.1336033018718292E-3</v>
      </c>
      <c r="F11" s="17">
        <v>5.1272177460733983E-3</v>
      </c>
      <c r="G11" s="17">
        <v>5.0905669650682453E-3</v>
      </c>
      <c r="H11" s="23">
        <f t="shared" si="0"/>
        <v>-4.5781235378779907E-2</v>
      </c>
      <c r="I11" s="23">
        <f t="shared" si="1"/>
        <v>-5.743284194574954E-2</v>
      </c>
      <c r="J11" s="23">
        <f t="shared" si="2"/>
        <v>-6.5334628525018118E-2</v>
      </c>
      <c r="K11" s="25"/>
      <c r="L11" s="25"/>
    </row>
    <row r="12" spans="1:12" ht="18" x14ac:dyDescent="0.15">
      <c r="A12" s="13" t="s">
        <v>39</v>
      </c>
      <c r="B12" s="17">
        <v>1.0492709544886791E-2</v>
      </c>
      <c r="C12" s="17">
        <v>1.7669926122200398E-2</v>
      </c>
      <c r="D12" s="17">
        <v>2.6908909312931502E-2</v>
      </c>
      <c r="E12" s="17">
        <v>3.6660599828046585E-2</v>
      </c>
      <c r="F12" s="17">
        <v>4.189185576929743E-2</v>
      </c>
      <c r="G12" s="17">
        <v>4.9499761234617898E-2</v>
      </c>
      <c r="H12" s="23">
        <f t="shared" si="0"/>
        <v>0.68401937046004868</v>
      </c>
      <c r="I12" s="23">
        <f t="shared" si="1"/>
        <v>2.4939116222760291</v>
      </c>
      <c r="J12" s="23">
        <f t="shared" si="2"/>
        <v>3.7175384987893483</v>
      </c>
      <c r="K12" s="25"/>
      <c r="L12" s="25"/>
    </row>
    <row r="13" spans="1:12" ht="18" x14ac:dyDescent="0.15">
      <c r="A13" s="13" t="s">
        <v>40</v>
      </c>
      <c r="B13" s="17">
        <v>3.4656901762233856E-2</v>
      </c>
      <c r="C13" s="17">
        <v>3.9277821997198356E-2</v>
      </c>
      <c r="D13" s="17">
        <v>4.61206347118083E-2</v>
      </c>
      <c r="E13" s="17">
        <v>4.8318267360220178E-2</v>
      </c>
      <c r="F13" s="17">
        <v>5.3452956909975494E-2</v>
      </c>
      <c r="G13" s="17">
        <v>5.8189631196825881E-2</v>
      </c>
      <c r="H13" s="23">
        <f t="shared" si="0"/>
        <v>0.13333333333333292</v>
      </c>
      <c r="I13" s="23">
        <f t="shared" si="1"/>
        <v>0.39418888888888837</v>
      </c>
      <c r="J13" s="23">
        <f t="shared" si="2"/>
        <v>0.67901999999999973</v>
      </c>
      <c r="K13" s="25"/>
      <c r="L13" s="25"/>
    </row>
    <row r="14" spans="1:12" ht="18" x14ac:dyDescent="0.15">
      <c r="A14" s="13" t="s">
        <v>41</v>
      </c>
      <c r="B14" s="17">
        <v>1.6715263037400414E-2</v>
      </c>
      <c r="C14" s="17">
        <v>1.5220438693365345E-2</v>
      </c>
      <c r="D14" s="17">
        <v>1.4979529022840776E-2</v>
      </c>
      <c r="E14" s="17">
        <v>1.4855148164724576E-2</v>
      </c>
      <c r="F14" s="17">
        <v>1.4206810565709289E-2</v>
      </c>
      <c r="G14" s="17">
        <v>1.3748328030897955E-2</v>
      </c>
      <c r="H14" s="23">
        <f t="shared" si="0"/>
        <v>-8.9428706009016895E-2</v>
      </c>
      <c r="I14" s="23">
        <f t="shared" si="1"/>
        <v>-0.11128241706480053</v>
      </c>
      <c r="J14" s="23">
        <f t="shared" si="2"/>
        <v>-0.1774985532602113</v>
      </c>
      <c r="K14" s="25"/>
      <c r="L14" s="25"/>
    </row>
    <row r="15" spans="1:12" ht="18" x14ac:dyDescent="0.15">
      <c r="A15" s="13" t="s">
        <v>42</v>
      </c>
      <c r="B15" s="17">
        <v>243.35944925213678</v>
      </c>
      <c r="C15" s="17">
        <v>231.19147678952987</v>
      </c>
      <c r="D15" s="17">
        <v>226.54331130881414</v>
      </c>
      <c r="E15" s="17">
        <v>224.24321685702535</v>
      </c>
      <c r="F15" s="17">
        <v>223.27786131670027</v>
      </c>
      <c r="G15" s="17">
        <v>219.16220834977642</v>
      </c>
      <c r="H15" s="23">
        <f t="shared" si="0"/>
        <v>-5.0000000000000301E-2</v>
      </c>
      <c r="I15" s="23">
        <f t="shared" si="1"/>
        <v>-7.8551428571428647E-2</v>
      </c>
      <c r="J15" s="23">
        <f t="shared" si="2"/>
        <v>-9.9430044638580656E-2</v>
      </c>
      <c r="K15" s="25"/>
      <c r="L15" s="25"/>
    </row>
    <row r="16" spans="1:12" ht="18" x14ac:dyDescent="0.15">
      <c r="A16" s="13" t="s">
        <v>43</v>
      </c>
      <c r="B16" s="17">
        <v>8.7144189102556779E-3</v>
      </c>
      <c r="C16" s="17">
        <v>8.63241100570151E-3</v>
      </c>
      <c r="D16" s="17">
        <v>8.6742781990791652E-3</v>
      </c>
      <c r="E16" s="17">
        <v>8.8533403005704309E-3</v>
      </c>
      <c r="F16" s="17">
        <v>8.9517411536244249E-3</v>
      </c>
      <c r="G16" s="17">
        <v>9.0533359987505242E-3</v>
      </c>
      <c r="H16" s="23">
        <f t="shared" si="0"/>
        <v>-9.4105993065878284E-3</v>
      </c>
      <c r="I16" s="23">
        <f t="shared" si="1"/>
        <v>1.5941555225358912E-2</v>
      </c>
      <c r="J16" s="23">
        <f t="shared" si="2"/>
        <v>3.8891530460623963E-2</v>
      </c>
      <c r="K16" s="25"/>
      <c r="L16" s="25"/>
    </row>
    <row r="17" spans="1:12" ht="18" x14ac:dyDescent="0.15">
      <c r="A17" s="13" t="s">
        <v>44</v>
      </c>
      <c r="B17" s="17">
        <v>0.1962727653409766</v>
      </c>
      <c r="C17" s="17">
        <v>0.1962727653409766</v>
      </c>
      <c r="D17" s="17">
        <v>0.19921685682109125</v>
      </c>
      <c r="E17" s="17">
        <v>0.20353485765859275</v>
      </c>
      <c r="F17" s="17">
        <v>0.20726404020007136</v>
      </c>
      <c r="G17" s="17">
        <v>0.2107969499762089</v>
      </c>
      <c r="H17" s="23">
        <f t="shared" si="0"/>
        <v>0</v>
      </c>
      <c r="I17" s="23">
        <f t="shared" si="1"/>
        <v>3.7000000000000095E-2</v>
      </c>
      <c r="J17" s="23">
        <f t="shared" si="2"/>
        <v>7.4000000000000191E-2</v>
      </c>
      <c r="K17" s="25"/>
      <c r="L17" s="25"/>
    </row>
    <row r="18" spans="1:12" ht="18" x14ac:dyDescent="0.15">
      <c r="A18" s="13" t="s">
        <v>45</v>
      </c>
      <c r="B18" s="17">
        <v>1.8252562735234117E-2</v>
      </c>
      <c r="C18" s="17">
        <v>1.4161471087681643E-2</v>
      </c>
      <c r="D18" s="17">
        <v>1.2297664142863988E-2</v>
      </c>
      <c r="E18" s="17">
        <v>1.0442983479413944E-2</v>
      </c>
      <c r="F18" s="17">
        <v>8.4742242988686944E-3</v>
      </c>
      <c r="G18" s="17">
        <v>6.4217550892273706E-3</v>
      </c>
      <c r="H18" s="23">
        <f t="shared" si="0"/>
        <v>-0.22413793103448271</v>
      </c>
      <c r="I18" s="23">
        <f t="shared" si="1"/>
        <v>-0.42786206896551743</v>
      </c>
      <c r="J18" s="23">
        <f t="shared" si="2"/>
        <v>-0.64817241379310342</v>
      </c>
      <c r="K18" s="25"/>
      <c r="L18" s="25"/>
    </row>
    <row r="19" spans="1:12" s="9" customFormat="1" x14ac:dyDescent="0.15">
      <c r="A19" s="13" t="s">
        <v>46</v>
      </c>
      <c r="B19" s="17">
        <v>1.5154813150175554E-2</v>
      </c>
      <c r="C19" s="17">
        <v>1.1758044685481032E-2</v>
      </c>
      <c r="D19" s="17">
        <v>1.0210555359930781E-2</v>
      </c>
      <c r="E19" s="17">
        <v>8.670643440955611E-3</v>
      </c>
      <c r="F19" s="17">
        <v>7.0360139397918535E-3</v>
      </c>
      <c r="G19" s="17">
        <v>5.3318813300428031E-3</v>
      </c>
      <c r="H19" s="23">
        <f t="shared" si="0"/>
        <v>-0.22413793103448285</v>
      </c>
      <c r="I19" s="23">
        <f t="shared" si="1"/>
        <v>-0.42786206896551743</v>
      </c>
      <c r="J19" s="23">
        <f t="shared" si="2"/>
        <v>-0.64817241379310309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0.26358404555483556</v>
      </c>
      <c r="C20" s="17">
        <f t="shared" ref="C20:G20" si="3">C11+C12+C13+C14+C17</f>
        <v>0.27363801483400607</v>
      </c>
      <c r="D20" s="17">
        <f t="shared" si="3"/>
        <v>0.29237819962273864</v>
      </c>
      <c r="E20" s="17">
        <f t="shared" si="3"/>
        <v>0.30850247631345595</v>
      </c>
      <c r="F20" s="17">
        <f t="shared" si="3"/>
        <v>0.32194288119112696</v>
      </c>
      <c r="G20" s="17">
        <f t="shared" si="3"/>
        <v>0.33732523740361886</v>
      </c>
      <c r="H20" s="23">
        <f t="shared" si="0"/>
        <v>3.8143315002269008E-2</v>
      </c>
      <c r="I20" s="23">
        <f t="shared" si="1"/>
        <v>0.170414072915789</v>
      </c>
      <c r="J20" s="23">
        <f t="shared" si="2"/>
        <v>0.27976348755692165</v>
      </c>
      <c r="K20" s="25"/>
      <c r="L20" s="25"/>
    </row>
    <row r="21" spans="1:12" x14ac:dyDescent="0.15">
      <c r="A21" s="6"/>
    </row>
    <row r="22" spans="1:12" x14ac:dyDescent="0.15">
      <c r="A22" s="6"/>
    </row>
    <row r="23" spans="1:12" s="9" customFormat="1" x14ac:dyDescent="0.2"/>
    <row r="24" spans="1:12" x14ac:dyDescent="0.15">
      <c r="A24" s="6"/>
    </row>
    <row r="25" spans="1:12" x14ac:dyDescent="0.15">
      <c r="A25" s="6"/>
    </row>
    <row r="26" spans="1:12" x14ac:dyDescent="0.15">
      <c r="A26" s="6"/>
    </row>
    <row r="27" spans="1:12" x14ac:dyDescent="0.15">
      <c r="A27" s="6"/>
    </row>
    <row r="28" spans="1:12" x14ac:dyDescent="0.15">
      <c r="A28" s="6"/>
    </row>
    <row r="29" spans="1:12" x14ac:dyDescent="0.15">
      <c r="A29" s="6"/>
    </row>
    <row r="30" spans="1:12" x14ac:dyDescent="0.15">
      <c r="A30" s="6"/>
    </row>
    <row r="31" spans="1:12" x14ac:dyDescent="0.15">
      <c r="A31" s="6"/>
    </row>
    <row r="32" spans="1:12" x14ac:dyDescent="0.15">
      <c r="A32" s="6"/>
    </row>
  </sheetData>
  <hyperlinks>
    <hyperlink ref="A1" location="Contenido!A1" display="Contenido" xr:uid="{DBB787E2-FF51-4CC6-8901-C8D6894370B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3A4DA-0B82-4384-B20A-836E2EB5282A}">
  <sheetPr>
    <tabColor rgb="FFD18316"/>
  </sheetPr>
  <dimension ref="A1:L23"/>
  <sheetViews>
    <sheetView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18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11.075254369852548</v>
      </c>
      <c r="C5" s="17">
        <v>9.8178580393774926</v>
      </c>
      <c r="D5" s="17">
        <v>9.3461237436822451</v>
      </c>
      <c r="E5" s="17">
        <v>8.8914104541994288</v>
      </c>
      <c r="F5" s="17">
        <v>8.5477978877685334</v>
      </c>
      <c r="G5" s="17">
        <v>8.1122547181572582</v>
      </c>
      <c r="H5" s="23">
        <f>+(C5-B5)/B5</f>
        <v>-0.11353204978278036</v>
      </c>
      <c r="I5" s="23">
        <f>(E5-B5)/B5</f>
        <v>-0.19718228067047042</v>
      </c>
      <c r="J5" s="23">
        <f>(G5-B5)/B5</f>
        <v>-0.26753332724896484</v>
      </c>
      <c r="K5" s="24">
        <v>1</v>
      </c>
      <c r="L5" s="24">
        <v>3.5</v>
      </c>
    </row>
    <row r="6" spans="1:12" x14ac:dyDescent="0.15">
      <c r="A6" s="13" t="s">
        <v>33</v>
      </c>
      <c r="B6" s="17">
        <v>1.791776289750975</v>
      </c>
      <c r="C6" s="17">
        <v>1.6729486319891484</v>
      </c>
      <c r="D6" s="17">
        <v>1.6395453330552818</v>
      </c>
      <c r="E6" s="17">
        <v>1.6129664942094162</v>
      </c>
      <c r="F6" s="17">
        <v>1.5946516046502028</v>
      </c>
      <c r="G6" s="17">
        <v>1.5627172158093052</v>
      </c>
      <c r="H6" s="23">
        <f t="shared" ref="H6:H20" si="0">+(C6-B6)/B6</f>
        <v>-6.6318355947405414E-2</v>
      </c>
      <c r="I6" s="23">
        <f t="shared" ref="I6:I20" si="1">(E6-B6)/B6</f>
        <v>-9.9794710179143084E-2</v>
      </c>
      <c r="J6" s="23">
        <f t="shared" ref="J6:J20" si="2">(G6-B6)/B6</f>
        <v>-0.12783910315807612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0.29976197289642526</v>
      </c>
      <c r="C7" s="17">
        <v>0.29976197289642526</v>
      </c>
      <c r="D7" s="17">
        <v>0.30425840248987163</v>
      </c>
      <c r="E7" s="17">
        <v>0.31085316589359296</v>
      </c>
      <c r="F7" s="17">
        <v>0.31654864337862504</v>
      </c>
      <c r="G7" s="17">
        <v>0.32194435889076078</v>
      </c>
      <c r="H7" s="23">
        <f t="shared" si="0"/>
        <v>0</v>
      </c>
      <c r="I7" s="23">
        <f t="shared" si="1"/>
        <v>3.6999999999999915E-2</v>
      </c>
      <c r="J7" s="23">
        <f t="shared" si="2"/>
        <v>7.4000000000000205E-2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0.65445173975101389</v>
      </c>
      <c r="C8" s="17">
        <v>0.45811621782570955</v>
      </c>
      <c r="D8" s="17">
        <v>0.43177453530073123</v>
      </c>
      <c r="E8" s="17">
        <v>0.4071998724730807</v>
      </c>
      <c r="F8" s="17">
        <v>0.38010557044738891</v>
      </c>
      <c r="G8" s="17">
        <v>0.35144058424629449</v>
      </c>
      <c r="H8" s="23">
        <f t="shared" si="0"/>
        <v>-0.30000000000000027</v>
      </c>
      <c r="I8" s="23">
        <f t="shared" si="1"/>
        <v>-0.37780000000000019</v>
      </c>
      <c r="J8" s="23">
        <f t="shared" si="2"/>
        <v>-0.46299999999999997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2.1110859674980855E-3</v>
      </c>
      <c r="C9" s="17">
        <v>1.7920869365565687E-3</v>
      </c>
      <c r="D9" s="17">
        <v>1.6570762324020975E-3</v>
      </c>
      <c r="E9" s="17">
        <v>1.5275921581228086E-3</v>
      </c>
      <c r="F9" s="17">
        <v>1.3871493399923733E-3</v>
      </c>
      <c r="G9" s="17">
        <v>1.2394914513993765E-3</v>
      </c>
      <c r="H9" s="23">
        <f t="shared" si="0"/>
        <v>-0.1511066038298633</v>
      </c>
      <c r="I9" s="23">
        <f t="shared" si="1"/>
        <v>-0.27639509634313653</v>
      </c>
      <c r="J9" s="23">
        <f t="shared" si="2"/>
        <v>-0.4128654775398195</v>
      </c>
      <c r="K9" s="25"/>
      <c r="L9" s="25"/>
    </row>
    <row r="10" spans="1:12" ht="18" x14ac:dyDescent="0.15">
      <c r="A10" s="13" t="s">
        <v>37</v>
      </c>
      <c r="B10" s="17">
        <v>6.5091679030452682E-2</v>
      </c>
      <c r="C10" s="17">
        <v>6.3802734891235807E-2</v>
      </c>
      <c r="D10" s="17">
        <v>6.4105636763951743E-2</v>
      </c>
      <c r="E10" s="17">
        <v>6.4826801009843601E-2</v>
      </c>
      <c r="F10" s="17">
        <v>6.533400052862548E-2</v>
      </c>
      <c r="G10" s="17">
        <v>6.5755485262149402E-2</v>
      </c>
      <c r="H10" s="23">
        <f t="shared" si="0"/>
        <v>-1.9801980198019643E-2</v>
      </c>
      <c r="I10" s="23">
        <f t="shared" si="1"/>
        <v>-4.0693069306932264E-3</v>
      </c>
      <c r="J10" s="23">
        <f t="shared" si="2"/>
        <v>1.0198019801980577E-2</v>
      </c>
      <c r="K10" s="25"/>
      <c r="L10" s="25"/>
    </row>
    <row r="11" spans="1:12" ht="18" x14ac:dyDescent="0.15">
      <c r="A11" s="13" t="s">
        <v>38</v>
      </c>
      <c r="B11" s="17">
        <v>5.7166411186700128E-3</v>
      </c>
      <c r="C11" s="17">
        <v>5.2509218581655382E-3</v>
      </c>
      <c r="D11" s="17">
        <v>5.1004172969498895E-3</v>
      </c>
      <c r="E11" s="17">
        <v>4.9675188635090505E-3</v>
      </c>
      <c r="F11" s="17">
        <v>4.8709267024853653E-3</v>
      </c>
      <c r="G11" s="17">
        <v>4.7222617025603712E-3</v>
      </c>
      <c r="H11" s="23">
        <f t="shared" si="0"/>
        <v>-8.1467290116127675E-2</v>
      </c>
      <c r="I11" s="23">
        <f t="shared" si="1"/>
        <v>-0.13104237953899178</v>
      </c>
      <c r="J11" s="23">
        <f t="shared" si="2"/>
        <v>-0.17394469855070871</v>
      </c>
      <c r="K11" s="25"/>
      <c r="L11" s="25"/>
    </row>
    <row r="12" spans="1:12" ht="18" x14ac:dyDescent="0.15">
      <c r="A12" s="13" t="s">
        <v>39</v>
      </c>
      <c r="B12" s="17">
        <v>1.237847890914104E-2</v>
      </c>
      <c r="C12" s="17">
        <v>2.0845598259824686E-2</v>
      </c>
      <c r="D12" s="17">
        <v>3.1745028771946737E-2</v>
      </c>
      <c r="E12" s="17">
        <v>4.324931132674658E-2</v>
      </c>
      <c r="F12" s="17">
        <v>4.94207383599716E-2</v>
      </c>
      <c r="G12" s="17">
        <v>5.8395950810324816E-2</v>
      </c>
      <c r="H12" s="23">
        <f t="shared" si="0"/>
        <v>0.68401937046004879</v>
      </c>
      <c r="I12" s="23">
        <f t="shared" si="1"/>
        <v>2.4939116222760291</v>
      </c>
      <c r="J12" s="23">
        <f t="shared" si="2"/>
        <v>3.7175384987893469</v>
      </c>
      <c r="K12" s="25"/>
      <c r="L12" s="25"/>
    </row>
    <row r="13" spans="1:12" ht="18" x14ac:dyDescent="0.15">
      <c r="A13" s="13" t="s">
        <v>40</v>
      </c>
      <c r="B13" s="17">
        <v>4.2622593332847299E-2</v>
      </c>
      <c r="C13" s="17">
        <v>4.830560577722693E-2</v>
      </c>
      <c r="D13" s="17">
        <v>5.6721200038612439E-2</v>
      </c>
      <c r="E13" s="17">
        <v>5.9423946040285322E-2</v>
      </c>
      <c r="F13" s="17">
        <v>6.5738814751605909E-2</v>
      </c>
      <c r="G13" s="17">
        <v>7.1564186657717258E-2</v>
      </c>
      <c r="H13" s="23">
        <f t="shared" si="0"/>
        <v>0.13333333333333314</v>
      </c>
      <c r="I13" s="23">
        <f t="shared" si="1"/>
        <v>0.39418888888888848</v>
      </c>
      <c r="J13" s="23">
        <f t="shared" si="2"/>
        <v>0.67901999999999962</v>
      </c>
      <c r="K13" s="25"/>
      <c r="L13" s="25"/>
    </row>
    <row r="14" spans="1:12" ht="18" x14ac:dyDescent="0.15">
      <c r="A14" s="13" t="s">
        <v>41</v>
      </c>
      <c r="B14" s="17">
        <v>3.2686960351809437E-2</v>
      </c>
      <c r="C14" s="17">
        <v>2.9763807784179076E-2</v>
      </c>
      <c r="D14" s="17">
        <v>2.9292705126016616E-2</v>
      </c>
      <c r="E14" s="17">
        <v>2.9049476397358776E-2</v>
      </c>
      <c r="F14" s="17">
        <v>2.7781642002758927E-2</v>
      </c>
      <c r="G14" s="17">
        <v>2.6885072178889385E-2</v>
      </c>
      <c r="H14" s="23">
        <f t="shared" si="0"/>
        <v>-8.9428706009017006E-2</v>
      </c>
      <c r="I14" s="23">
        <f t="shared" si="1"/>
        <v>-0.11128241706480066</v>
      </c>
      <c r="J14" s="23">
        <f t="shared" si="2"/>
        <v>-0.17749855326021097</v>
      </c>
      <c r="K14" s="25"/>
      <c r="L14" s="25"/>
    </row>
    <row r="15" spans="1:12" ht="18" x14ac:dyDescent="0.15">
      <c r="A15" s="13" t="s">
        <v>42</v>
      </c>
      <c r="B15" s="17">
        <v>175.26866098717653</v>
      </c>
      <c r="C15" s="17">
        <v>166.50522793781766</v>
      </c>
      <c r="D15" s="17">
        <v>163.15759651296264</v>
      </c>
      <c r="E15" s="17">
        <v>161.50105728283242</v>
      </c>
      <c r="F15" s="17">
        <v>160.89260252432047</v>
      </c>
      <c r="G15" s="17">
        <v>157.92688925104582</v>
      </c>
      <c r="H15" s="23">
        <f t="shared" si="0"/>
        <v>-5.0000000000000225E-2</v>
      </c>
      <c r="I15" s="23">
        <f t="shared" si="1"/>
        <v>-7.855142857142848E-2</v>
      </c>
      <c r="J15" s="23">
        <f t="shared" si="2"/>
        <v>-9.8943939198574207E-2</v>
      </c>
      <c r="K15" s="25"/>
      <c r="L15" s="25"/>
    </row>
    <row r="16" spans="1:12" ht="18" x14ac:dyDescent="0.15">
      <c r="A16" s="13" t="s">
        <v>43</v>
      </c>
      <c r="B16" s="17">
        <v>1.8041526715170441E-3</v>
      </c>
      <c r="C16" s="17">
        <v>1.7871745136374872E-3</v>
      </c>
      <c r="D16" s="17">
        <v>1.795842310028629E-3</v>
      </c>
      <c r="E16" s="17">
        <v>1.8329136709650114E-3</v>
      </c>
      <c r="F16" s="17">
        <v>1.853285673245966E-3</v>
      </c>
      <c r="G16" s="17">
        <v>1.874318930096965E-3</v>
      </c>
      <c r="H16" s="23">
        <f t="shared" si="0"/>
        <v>-9.4105993065878024E-3</v>
      </c>
      <c r="I16" s="23">
        <f t="shared" si="1"/>
        <v>1.5941555225358693E-2</v>
      </c>
      <c r="J16" s="23">
        <f t="shared" si="2"/>
        <v>3.889153046062379E-2</v>
      </c>
      <c r="K16" s="25"/>
      <c r="L16" s="25"/>
    </row>
    <row r="17" spans="1:12" ht="18" x14ac:dyDescent="0.15">
      <c r="A17" s="13" t="s">
        <v>44</v>
      </c>
      <c r="B17" s="17">
        <v>0.39590306656602986</v>
      </c>
      <c r="C17" s="17">
        <v>0.39590306656602986</v>
      </c>
      <c r="D17" s="17">
        <v>0.40184161256452028</v>
      </c>
      <c r="E17" s="17">
        <v>0.41055148002897296</v>
      </c>
      <c r="F17" s="17">
        <v>0.41807363829372757</v>
      </c>
      <c r="G17" s="17">
        <v>0.42519989349191611</v>
      </c>
      <c r="H17" s="23">
        <f t="shared" si="0"/>
        <v>0</v>
      </c>
      <c r="I17" s="23">
        <f t="shared" si="1"/>
        <v>3.6999999999999984E-2</v>
      </c>
      <c r="J17" s="23">
        <f t="shared" si="2"/>
        <v>7.4000000000000107E-2</v>
      </c>
      <c r="K17" s="25"/>
      <c r="L17" s="25"/>
    </row>
    <row r="18" spans="1:12" ht="18" x14ac:dyDescent="0.15">
      <c r="A18" s="13" t="s">
        <v>45</v>
      </c>
      <c r="B18" s="17">
        <v>1.16914266786629E-2</v>
      </c>
      <c r="C18" s="17">
        <v>9.0709344920660399E-3</v>
      </c>
      <c r="D18" s="17">
        <v>7.8770987247491261E-3</v>
      </c>
      <c r="E18" s="17">
        <v>6.6891086707715442E-3</v>
      </c>
      <c r="F18" s="17">
        <v>5.428047200052322E-3</v>
      </c>
      <c r="G18" s="17">
        <v>4.1133664276688841E-3</v>
      </c>
      <c r="H18" s="23">
        <f t="shared" si="0"/>
        <v>-0.22413793103448301</v>
      </c>
      <c r="I18" s="23">
        <f t="shared" si="1"/>
        <v>-0.42786206896551737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2.095751450209548E-2</v>
      </c>
      <c r="C19" s="17">
        <v>1.6260140561970636E-2</v>
      </c>
      <c r="D19" s="17">
        <v>1.4120125395786833E-2</v>
      </c>
      <c r="E19" s="17">
        <v>1.1990588986854079E-2</v>
      </c>
      <c r="F19" s="17">
        <v>9.7300681122832328E-3</v>
      </c>
      <c r="G19" s="17">
        <v>7.3734317401682884E-3</v>
      </c>
      <c r="H19" s="23">
        <f t="shared" si="0"/>
        <v>-0.22413793103448251</v>
      </c>
      <c r="I19" s="23">
        <f t="shared" si="1"/>
        <v>-0.42786206896551709</v>
      </c>
      <c r="J19" s="23">
        <f t="shared" si="2"/>
        <v>-0.6481724137931032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0.48930774027849766</v>
      </c>
      <c r="C20" s="17">
        <f t="shared" ref="C20:G20" si="3">C11+C12+C13+C14+C17</f>
        <v>0.50006900024542611</v>
      </c>
      <c r="D20" s="17">
        <f t="shared" si="3"/>
        <v>0.52470096379804598</v>
      </c>
      <c r="E20" s="17">
        <f t="shared" si="3"/>
        <v>0.5472417326568727</v>
      </c>
      <c r="F20" s="17">
        <f t="shared" si="3"/>
        <v>0.56588576011054936</v>
      </c>
      <c r="G20" s="17">
        <f t="shared" si="3"/>
        <v>0.5867673648414079</v>
      </c>
      <c r="H20" s="23">
        <f t="shared" si="0"/>
        <v>2.1992825947947398E-2</v>
      </c>
      <c r="I20" s="23">
        <f t="shared" si="1"/>
        <v>0.11839990993275713</v>
      </c>
      <c r="J20" s="23">
        <f t="shared" si="2"/>
        <v>0.1991785875029066</v>
      </c>
      <c r="K20" s="25"/>
      <c r="L20" s="25"/>
    </row>
    <row r="23" spans="1:12" s="9" customFormat="1" x14ac:dyDescent="0.15">
      <c r="A23" s="8"/>
      <c r="B23" s="6"/>
      <c r="C23" s="6"/>
      <c r="D23" s="6"/>
      <c r="E23" s="6"/>
      <c r="F23" s="6"/>
      <c r="G23" s="6"/>
      <c r="H23" s="6"/>
    </row>
  </sheetData>
  <hyperlinks>
    <hyperlink ref="A1" location="Contenido!A1" display="Contenido" xr:uid="{0CA0BC9A-ABD0-4698-A8D3-3807764230BD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FE3D-B57C-4717-8BE5-AA86EDDC8A62}">
  <sheetPr>
    <tabColor rgb="FFD18316"/>
  </sheetPr>
  <dimension ref="A1:L36"/>
  <sheetViews>
    <sheetView topLeftCell="A3" zoomScale="70" zoomScaleNormal="70" workbookViewId="0">
      <selection activeCell="B5" sqref="B5:G19"/>
    </sheetView>
  </sheetViews>
  <sheetFormatPr baseColWidth="10" defaultColWidth="10.83203125" defaultRowHeight="14" x14ac:dyDescent="0.15"/>
  <cols>
    <col min="1" max="1" width="19.5" style="8" bestFit="1" customWidth="1"/>
    <col min="2" max="2" width="10.33203125" style="6" bestFit="1" customWidth="1"/>
    <col min="3" max="3" width="11.33203125" style="6" bestFit="1" customWidth="1"/>
    <col min="4" max="7" width="12" style="6" bestFit="1" customWidth="1"/>
    <col min="8" max="16384" width="10.83203125" style="6"/>
  </cols>
  <sheetData>
    <row r="1" spans="1:12" x14ac:dyDescent="0.15">
      <c r="A1" s="1" t="s">
        <v>0</v>
      </c>
    </row>
    <row r="2" spans="1:12" x14ac:dyDescent="0.15">
      <c r="A2" s="1"/>
    </row>
    <row r="3" spans="1:12" ht="16" x14ac:dyDescent="0.2">
      <c r="A3" s="4" t="s">
        <v>19</v>
      </c>
    </row>
    <row r="4" spans="1:12" ht="15" x14ac:dyDescent="0.15">
      <c r="A4" s="14" t="s">
        <v>20</v>
      </c>
      <c r="B4" s="15" t="s">
        <v>21</v>
      </c>
      <c r="C4" s="15" t="s">
        <v>22</v>
      </c>
      <c r="D4" s="15" t="s">
        <v>23</v>
      </c>
      <c r="E4" s="15" t="s">
        <v>24</v>
      </c>
      <c r="F4" s="15" t="s">
        <v>25</v>
      </c>
      <c r="G4" s="16" t="s">
        <v>26</v>
      </c>
      <c r="H4" s="20" t="s">
        <v>27</v>
      </c>
      <c r="I4" s="20" t="s">
        <v>28</v>
      </c>
      <c r="J4" s="20" t="s">
        <v>29</v>
      </c>
      <c r="K4" s="21" t="s">
        <v>30</v>
      </c>
      <c r="L4" s="22" t="s">
        <v>31</v>
      </c>
    </row>
    <row r="5" spans="1:12" x14ac:dyDescent="0.15">
      <c r="A5" s="13" t="s">
        <v>32</v>
      </c>
      <c r="B5" s="17">
        <v>4.4610660023553192</v>
      </c>
      <c r="C5" s="17">
        <v>3.7192931763857056</v>
      </c>
      <c r="D5" s="17">
        <v>3.4099160986420363</v>
      </c>
      <c r="E5" s="17">
        <v>3.0960724553763717</v>
      </c>
      <c r="F5" s="17">
        <v>2.8539877947411627</v>
      </c>
      <c r="G5" s="17">
        <v>2.5864392058936447</v>
      </c>
      <c r="H5" s="23">
        <f>+(C5-B5)/B5</f>
        <v>-0.16627703458724399</v>
      </c>
      <c r="I5" s="23">
        <f>(E5-B5)/B5</f>
        <v>-0.30597923147926276</v>
      </c>
      <c r="J5" s="23">
        <f>(G5-B5)/B5</f>
        <v>-0.42021947119184594</v>
      </c>
      <c r="K5" s="24">
        <v>1</v>
      </c>
      <c r="L5" s="24">
        <v>3.5</v>
      </c>
    </row>
    <row r="6" spans="1:12" x14ac:dyDescent="0.15">
      <c r="A6" s="13" t="s">
        <v>33</v>
      </c>
      <c r="B6" s="17">
        <v>0.52769981041800385</v>
      </c>
      <c r="C6" s="17">
        <v>0.47029493837416081</v>
      </c>
      <c r="D6" s="17">
        <v>0.44908958525042414</v>
      </c>
      <c r="E6" s="17">
        <v>0.42881581461352553</v>
      </c>
      <c r="F6" s="17">
        <v>0.41354799150680865</v>
      </c>
      <c r="G6" s="17">
        <v>0.39203857219795285</v>
      </c>
      <c r="H6" s="23">
        <f t="shared" ref="H6:H20" si="0">+(C6-B6)/B6</f>
        <v>-0.10878319626147154</v>
      </c>
      <c r="I6" s="23">
        <f t="shared" ref="I6:I20" si="1">(E6-B6)/B6</f>
        <v>-0.18738683215775634</v>
      </c>
      <c r="J6" s="23">
        <f t="shared" ref="J6:J20" si="2">(G6-B6)/B6</f>
        <v>-0.25708032396788322</v>
      </c>
      <c r="K6" s="24">
        <v>95</v>
      </c>
      <c r="L6" s="24">
        <v>255</v>
      </c>
    </row>
    <row r="7" spans="1:12" x14ac:dyDescent="0.15">
      <c r="A7" s="13" t="s">
        <v>34</v>
      </c>
      <c r="B7" s="17">
        <v>0.3946940499450291</v>
      </c>
      <c r="C7" s="17">
        <v>0.3946940499450291</v>
      </c>
      <c r="D7" s="17">
        <v>0.40061446069420453</v>
      </c>
      <c r="E7" s="17">
        <v>0.40929772979299522</v>
      </c>
      <c r="F7" s="17">
        <v>0.41679691674195074</v>
      </c>
      <c r="G7" s="17">
        <v>0.42390140964096135</v>
      </c>
      <c r="H7" s="23">
        <f t="shared" si="0"/>
        <v>0</v>
      </c>
      <c r="I7" s="23">
        <f t="shared" si="1"/>
        <v>3.7000000000000116E-2</v>
      </c>
      <c r="J7" s="23">
        <f t="shared" si="2"/>
        <v>7.4000000000000232E-2</v>
      </c>
      <c r="K7" s="24">
        <v>0.1</v>
      </c>
      <c r="L7" s="24">
        <v>0.27300000000000002</v>
      </c>
    </row>
    <row r="8" spans="1:12" x14ac:dyDescent="0.15">
      <c r="A8" s="13" t="s">
        <v>35</v>
      </c>
      <c r="B8" s="17">
        <v>0.33442705210300633</v>
      </c>
      <c r="C8" s="17">
        <v>0.23409893647210436</v>
      </c>
      <c r="D8" s="17">
        <v>0.22063824762495843</v>
      </c>
      <c r="E8" s="17">
        <v>0.20808051181849055</v>
      </c>
      <c r="F8" s="17">
        <v>0.19423523186142605</v>
      </c>
      <c r="G8" s="17">
        <v>0.1795873269793144</v>
      </c>
      <c r="H8" s="23">
        <f t="shared" si="0"/>
        <v>-0.30000000000000021</v>
      </c>
      <c r="I8" s="23">
        <f t="shared" si="1"/>
        <v>-0.37779999999999997</v>
      </c>
      <c r="J8" s="23">
        <f t="shared" si="2"/>
        <v>-0.46300000000000002</v>
      </c>
      <c r="K8" s="24">
        <v>0.06</v>
      </c>
      <c r="L8" s="24">
        <v>0.20300000000000001</v>
      </c>
    </row>
    <row r="9" spans="1:12" ht="18" x14ac:dyDescent="0.15">
      <c r="A9" s="13" t="s">
        <v>36</v>
      </c>
      <c r="B9" s="17">
        <v>1.9505725724692788E-3</v>
      </c>
      <c r="C9" s="17">
        <v>1.6558281755197654E-3</v>
      </c>
      <c r="D9" s="17">
        <v>1.5310828167006839E-3</v>
      </c>
      <c r="E9" s="17">
        <v>1.4114438783773518E-3</v>
      </c>
      <c r="F9" s="17">
        <v>1.2816794285808438E-3</v>
      </c>
      <c r="G9" s="17">
        <v>1.1452484958606752E-3</v>
      </c>
      <c r="H9" s="23">
        <f t="shared" si="0"/>
        <v>-0.15110660382986368</v>
      </c>
      <c r="I9" s="23">
        <f t="shared" si="1"/>
        <v>-0.27639509634313703</v>
      </c>
      <c r="J9" s="23">
        <f t="shared" si="2"/>
        <v>-0.41286547753981984</v>
      </c>
      <c r="K9" s="25"/>
      <c r="L9" s="25"/>
    </row>
    <row r="10" spans="1:12" ht="18" x14ac:dyDescent="0.15">
      <c r="A10" s="13" t="s">
        <v>37</v>
      </c>
      <c r="B10" s="17">
        <v>5.6553139314809923E-2</v>
      </c>
      <c r="C10" s="17">
        <v>5.5433275169962215E-2</v>
      </c>
      <c r="D10" s="17">
        <v>5.5696443244001428E-2</v>
      </c>
      <c r="E10" s="17">
        <v>5.6323007233043745E-2</v>
      </c>
      <c r="F10" s="17">
        <v>5.6763673774041304E-2</v>
      </c>
      <c r="G10" s="17">
        <v>5.712986934940651E-2</v>
      </c>
      <c r="H10" s="23">
        <f t="shared" si="0"/>
        <v>-1.9801980198019573E-2</v>
      </c>
      <c r="I10" s="23">
        <f t="shared" si="1"/>
        <v>-4.0693069306925638E-3</v>
      </c>
      <c r="J10" s="23">
        <f t="shared" si="2"/>
        <v>1.0198019801980384E-2</v>
      </c>
      <c r="K10" s="25"/>
      <c r="L10" s="25"/>
    </row>
    <row r="11" spans="1:12" ht="18" x14ac:dyDescent="0.15">
      <c r="A11" s="13" t="s">
        <v>38</v>
      </c>
      <c r="B11" s="17">
        <v>4.0498641496688878E-3</v>
      </c>
      <c r="C11" s="17">
        <v>3.6937081694035871E-3</v>
      </c>
      <c r="D11" s="17">
        <v>3.57378218171431E-3</v>
      </c>
      <c r="E11" s="17">
        <v>3.4650670561204387E-3</v>
      </c>
      <c r="F11" s="17">
        <v>3.3850826396270859E-3</v>
      </c>
      <c r="G11" s="17">
        <v>3.2655977378421254E-3</v>
      </c>
      <c r="H11" s="23">
        <f t="shared" si="0"/>
        <v>-8.7942698101223862E-2</v>
      </c>
      <c r="I11" s="23">
        <f t="shared" si="1"/>
        <v>-0.14439918771010168</v>
      </c>
      <c r="J11" s="23">
        <f t="shared" si="2"/>
        <v>-0.19365252335461255</v>
      </c>
      <c r="K11" s="25"/>
      <c r="L11" s="25"/>
    </row>
    <row r="12" spans="1:12" ht="18" x14ac:dyDescent="0.15">
      <c r="A12" s="13" t="s">
        <v>39</v>
      </c>
      <c r="B12" s="17">
        <v>1.0131939291516954E-2</v>
      </c>
      <c r="C12" s="17">
        <v>1.7062382027239816E-2</v>
      </c>
      <c r="D12" s="17">
        <v>2.5983701768664446E-2</v>
      </c>
      <c r="E12" s="17">
        <v>3.5400100446826253E-2</v>
      </c>
      <c r="F12" s="17">
        <v>4.0451490403672033E-2</v>
      </c>
      <c r="G12" s="17">
        <v>4.7797813675127705E-2</v>
      </c>
      <c r="H12" s="23">
        <f t="shared" si="0"/>
        <v>0.6840193704600489</v>
      </c>
      <c r="I12" s="23">
        <f t="shared" si="1"/>
        <v>2.49391162227603</v>
      </c>
      <c r="J12" s="23">
        <f t="shared" si="2"/>
        <v>3.7175384987893483</v>
      </c>
      <c r="K12" s="25"/>
      <c r="L12" s="25"/>
    </row>
    <row r="13" spans="1:12" ht="18" x14ac:dyDescent="0.15">
      <c r="A13" s="13" t="s">
        <v>40</v>
      </c>
      <c r="B13" s="17">
        <v>3.62001260780054E-2</v>
      </c>
      <c r="C13" s="17">
        <v>4.1026809555072784E-2</v>
      </c>
      <c r="D13" s="17">
        <v>4.8174323337363371E-2</v>
      </c>
      <c r="E13" s="17">
        <v>5.046981355433202E-2</v>
      </c>
      <c r="F13" s="17">
        <v>5.5833143789324691E-2</v>
      </c>
      <c r="G13" s="17">
        <v>6.0780735687492614E-2</v>
      </c>
      <c r="H13" s="23">
        <f t="shared" si="0"/>
        <v>0.13333333333333325</v>
      </c>
      <c r="I13" s="23">
        <f t="shared" si="1"/>
        <v>0.39418888888888837</v>
      </c>
      <c r="J13" s="23">
        <f t="shared" si="2"/>
        <v>0.67901999999999962</v>
      </c>
      <c r="K13" s="25"/>
      <c r="L13" s="25"/>
    </row>
    <row r="14" spans="1:12" ht="18" x14ac:dyDescent="0.15">
      <c r="A14" s="13" t="s">
        <v>41</v>
      </c>
      <c r="B14" s="17">
        <v>8.8519521927411561E-3</v>
      </c>
      <c r="C14" s="17">
        <v>8.0603335624906316E-3</v>
      </c>
      <c r="D14" s="17">
        <v>7.932754302656015E-3</v>
      </c>
      <c r="E14" s="17">
        <v>7.866885556990855E-3</v>
      </c>
      <c r="F14" s="17">
        <v>7.523543461900953E-3</v>
      </c>
      <c r="G14" s="17">
        <v>7.2807434850010438E-3</v>
      </c>
      <c r="H14" s="23">
        <f t="shared" si="0"/>
        <v>-8.9428706009017256E-2</v>
      </c>
      <c r="I14" s="23">
        <f t="shared" si="1"/>
        <v>-0.11128241706480101</v>
      </c>
      <c r="J14" s="23">
        <f t="shared" si="2"/>
        <v>-0.17749855326021152</v>
      </c>
      <c r="K14" s="25"/>
      <c r="L14" s="25"/>
    </row>
    <row r="15" spans="1:12" ht="18" x14ac:dyDescent="0.15">
      <c r="A15" s="13" t="s">
        <v>42</v>
      </c>
      <c r="B15" s="17">
        <v>164.92962175040822</v>
      </c>
      <c r="C15" s="17">
        <v>156.68314066288781</v>
      </c>
      <c r="D15" s="17">
        <v>153.53298488745494</v>
      </c>
      <c r="E15" s="17">
        <v>151.97416434816827</v>
      </c>
      <c r="F15" s="17">
        <v>151.17771920964046</v>
      </c>
      <c r="G15" s="17">
        <v>148.39107916871225</v>
      </c>
      <c r="H15" s="23">
        <f t="shared" si="0"/>
        <v>-4.9999999999999982E-2</v>
      </c>
      <c r="I15" s="23">
        <f t="shared" si="1"/>
        <v>-7.8551428571428689E-2</v>
      </c>
      <c r="J15" s="23">
        <f t="shared" si="2"/>
        <v>-0.10027636276716938</v>
      </c>
      <c r="K15" s="25"/>
      <c r="L15" s="25"/>
    </row>
    <row r="16" spans="1:12" ht="18" x14ac:dyDescent="0.15">
      <c r="A16" s="13" t="s">
        <v>43</v>
      </c>
      <c r="B16" s="17">
        <v>2.5150212726435138E-3</v>
      </c>
      <c r="C16" s="17">
        <v>2.491353415199122E-3</v>
      </c>
      <c r="D16" s="17">
        <v>2.5034364792628394E-3</v>
      </c>
      <c r="E16" s="17">
        <v>2.5551146231543149E-3</v>
      </c>
      <c r="F16" s="17">
        <v>2.5835135607341696E-3</v>
      </c>
      <c r="G16" s="17">
        <v>2.612834299077649E-3</v>
      </c>
      <c r="H16" s="23">
        <f t="shared" si="0"/>
        <v>-9.4105993065874555E-3</v>
      </c>
      <c r="I16" s="23">
        <f t="shared" si="1"/>
        <v>1.5941555225359734E-2</v>
      </c>
      <c r="J16" s="23">
        <f t="shared" si="2"/>
        <v>3.8891530460625066E-2</v>
      </c>
      <c r="K16" s="25"/>
      <c r="L16" s="25"/>
    </row>
    <row r="17" spans="1:12" ht="18" x14ac:dyDescent="0.15">
      <c r="A17" s="13" t="s">
        <v>44</v>
      </c>
      <c r="B17" s="17">
        <v>0.13307502602822391</v>
      </c>
      <c r="C17" s="17">
        <v>0.13307502602822391</v>
      </c>
      <c r="D17" s="17">
        <v>0.13507115141864726</v>
      </c>
      <c r="E17" s="17">
        <v>0.13799880199126818</v>
      </c>
      <c r="F17" s="17">
        <v>0.14052722748580446</v>
      </c>
      <c r="G17" s="17">
        <v>0.14292257795431249</v>
      </c>
      <c r="H17" s="23">
        <f t="shared" si="0"/>
        <v>0</v>
      </c>
      <c r="I17" s="23">
        <f t="shared" si="1"/>
        <v>3.6999999999999922E-2</v>
      </c>
      <c r="J17" s="23">
        <f t="shared" si="2"/>
        <v>7.4000000000000052E-2</v>
      </c>
      <c r="K17" s="25"/>
      <c r="L17" s="25"/>
    </row>
    <row r="18" spans="1:12" ht="18" x14ac:dyDescent="0.15">
      <c r="A18" s="13" t="s">
        <v>45</v>
      </c>
      <c r="B18" s="17">
        <v>1.0944484055884014E-2</v>
      </c>
      <c r="C18" s="17">
        <v>8.4914100433582836E-3</v>
      </c>
      <c r="D18" s="17">
        <v>7.3738461326518538E-3</v>
      </c>
      <c r="E18" s="17">
        <v>6.2617544639733628E-3</v>
      </c>
      <c r="F18" s="17">
        <v>5.0812597699455998E-3</v>
      </c>
      <c r="G18" s="17">
        <v>3.8505714076615401E-3</v>
      </c>
      <c r="H18" s="23">
        <f t="shared" si="0"/>
        <v>-0.22413793103448301</v>
      </c>
      <c r="I18" s="23">
        <f t="shared" si="1"/>
        <v>-0.42786206896551732</v>
      </c>
      <c r="J18" s="23">
        <f t="shared" si="2"/>
        <v>-0.6481724137931032</v>
      </c>
      <c r="K18" s="25"/>
      <c r="L18" s="25"/>
    </row>
    <row r="19" spans="1:12" s="9" customFormat="1" x14ac:dyDescent="0.15">
      <c r="A19" s="13" t="s">
        <v>46</v>
      </c>
      <c r="B19" s="17">
        <v>2.1525653128382918E-2</v>
      </c>
      <c r="C19" s="17">
        <v>1.6700937772021227E-2</v>
      </c>
      <c r="D19" s="17">
        <v>1.4502908795247994E-2</v>
      </c>
      <c r="E19" s="17">
        <v>1.2315642645038944E-2</v>
      </c>
      <c r="F19" s="17">
        <v>9.9938411627775083E-3</v>
      </c>
      <c r="G19" s="17">
        <v>7.5733185816858964E-3</v>
      </c>
      <c r="H19" s="23">
        <f t="shared" si="0"/>
        <v>-0.22413793103448285</v>
      </c>
      <c r="I19" s="23">
        <f t="shared" si="1"/>
        <v>-0.42786206896551721</v>
      </c>
      <c r="J19" s="23">
        <f t="shared" si="2"/>
        <v>-0.64817241379310331</v>
      </c>
      <c r="K19" s="26">
        <v>5.0000000000000001E-3</v>
      </c>
      <c r="L19" s="26">
        <v>7.0000000000000001E-3</v>
      </c>
    </row>
    <row r="20" spans="1:12" ht="18" x14ac:dyDescent="0.15">
      <c r="A20" s="13" t="s">
        <v>47</v>
      </c>
      <c r="B20" s="17">
        <f>B11+B12+B13+B14+B17</f>
        <v>0.1923089077401563</v>
      </c>
      <c r="C20" s="17">
        <f t="shared" ref="C20:G20" si="3">C11+C12+C13+C14+C17</f>
        <v>0.20291825934243074</v>
      </c>
      <c r="D20" s="17">
        <f t="shared" si="3"/>
        <v>0.22073571300904538</v>
      </c>
      <c r="E20" s="17">
        <f t="shared" si="3"/>
        <v>0.23520066860553776</v>
      </c>
      <c r="F20" s="17">
        <f t="shared" si="3"/>
        <v>0.24772048778032923</v>
      </c>
      <c r="G20" s="17">
        <f t="shared" si="3"/>
        <v>0.26204746853977601</v>
      </c>
      <c r="H20" s="23">
        <f t="shared" si="0"/>
        <v>5.5168279654573105E-2</v>
      </c>
      <c r="I20" s="23">
        <f t="shared" si="1"/>
        <v>0.22303574685856931</v>
      </c>
      <c r="J20" s="23">
        <f t="shared" si="2"/>
        <v>0.36263822419421654</v>
      </c>
      <c r="K20" s="25"/>
      <c r="L20" s="25"/>
    </row>
    <row r="21" spans="1:12" ht="15" x14ac:dyDescent="0.2">
      <c r="A21"/>
      <c r="B21"/>
      <c r="C21"/>
      <c r="D21"/>
      <c r="E21"/>
      <c r="F21"/>
      <c r="G21"/>
      <c r="H21"/>
      <c r="I21"/>
      <c r="J21"/>
      <c r="K21"/>
    </row>
    <row r="22" spans="1:12" ht="15" x14ac:dyDescent="0.2">
      <c r="A22"/>
      <c r="B22"/>
      <c r="C22"/>
      <c r="D22"/>
      <c r="E22"/>
      <c r="F22"/>
      <c r="G22"/>
      <c r="H22"/>
      <c r="I22"/>
      <c r="J22"/>
      <c r="K22"/>
    </row>
    <row r="23" spans="1:12" s="9" customFormat="1" ht="15" x14ac:dyDescent="0.2">
      <c r="A23"/>
      <c r="B23"/>
      <c r="C23"/>
      <c r="D23"/>
      <c r="E23"/>
      <c r="F23"/>
      <c r="G23"/>
      <c r="H23"/>
      <c r="I23"/>
      <c r="J23"/>
      <c r="K23"/>
    </row>
    <row r="24" spans="1:12" ht="15" x14ac:dyDescent="0.2">
      <c r="A24"/>
      <c r="B24"/>
      <c r="C24"/>
      <c r="D24"/>
      <c r="E24"/>
      <c r="F24"/>
      <c r="G24"/>
      <c r="H24"/>
      <c r="I24"/>
      <c r="J24"/>
      <c r="K24"/>
    </row>
    <row r="25" spans="1:12" ht="15" x14ac:dyDescent="0.2">
      <c r="A25"/>
      <c r="B25"/>
      <c r="C25"/>
      <c r="D25"/>
      <c r="E25"/>
      <c r="F25"/>
      <c r="G25"/>
      <c r="H25"/>
      <c r="I25"/>
      <c r="J25"/>
      <c r="K25"/>
    </row>
    <row r="26" spans="1:12" ht="15" x14ac:dyDescent="0.2">
      <c r="A26"/>
      <c r="B26"/>
      <c r="C26"/>
      <c r="D26"/>
      <c r="E26"/>
      <c r="F26"/>
      <c r="G26"/>
      <c r="H26"/>
      <c r="I26"/>
      <c r="J26"/>
      <c r="K26"/>
    </row>
    <row r="27" spans="1:12" ht="15" x14ac:dyDescent="0.2">
      <c r="A27"/>
      <c r="B27"/>
      <c r="C27"/>
      <c r="D27"/>
      <c r="E27"/>
      <c r="F27"/>
      <c r="G27"/>
      <c r="H27"/>
      <c r="I27"/>
      <c r="J27"/>
      <c r="K27"/>
    </row>
    <row r="28" spans="1:12" ht="15" x14ac:dyDescent="0.2">
      <c r="A28"/>
      <c r="B28"/>
      <c r="C28"/>
      <c r="D28"/>
      <c r="E28"/>
      <c r="F28"/>
      <c r="G28"/>
      <c r="H28"/>
      <c r="I28"/>
      <c r="J28"/>
      <c r="K28"/>
    </row>
    <row r="29" spans="1:12" ht="15" x14ac:dyDescent="0.2">
      <c r="B29"/>
      <c r="C29"/>
      <c r="D29"/>
      <c r="E29"/>
      <c r="F29"/>
      <c r="G29"/>
      <c r="H29"/>
      <c r="I29"/>
      <c r="J29"/>
      <c r="K29"/>
    </row>
    <row r="30" spans="1:12" ht="15" x14ac:dyDescent="0.2">
      <c r="J30"/>
      <c r="K30"/>
    </row>
    <row r="31" spans="1:12" ht="15" x14ac:dyDescent="0.2">
      <c r="J31"/>
      <c r="K31"/>
    </row>
    <row r="32" spans="1:12" ht="15" x14ac:dyDescent="0.2">
      <c r="J32"/>
      <c r="K32"/>
    </row>
    <row r="33" spans="10:11" ht="15" x14ac:dyDescent="0.2">
      <c r="J33"/>
      <c r="K33"/>
    </row>
    <row r="34" spans="10:11" ht="15" x14ac:dyDescent="0.2">
      <c r="J34"/>
      <c r="K34"/>
    </row>
    <row r="35" spans="10:11" ht="15" x14ac:dyDescent="0.2">
      <c r="J35"/>
      <c r="K35"/>
    </row>
    <row r="36" spans="10:11" ht="15" x14ac:dyDescent="0.2">
      <c r="J36"/>
      <c r="K36"/>
    </row>
  </sheetData>
  <hyperlinks>
    <hyperlink ref="A1" location="Contenido!A1" display="Contenido" xr:uid="{12FF4152-9C6C-4BE7-97B8-E6711CAADEB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Contenido</vt:lpstr>
      <vt:lpstr>Argentina</vt:lpstr>
      <vt:lpstr>Bolivia</vt:lpstr>
      <vt:lpstr>Chile</vt:lpstr>
      <vt:lpstr>Colombia</vt:lpstr>
      <vt:lpstr>Costa Rica</vt:lpstr>
      <vt:lpstr>República Dominicana</vt:lpstr>
      <vt:lpstr>Ecuador</vt:lpstr>
      <vt:lpstr>El Salvador</vt:lpstr>
      <vt:lpstr>Guatemala</vt:lpstr>
      <vt:lpstr>Honduras</vt:lpstr>
      <vt:lpstr>Jamaica</vt:lpstr>
      <vt:lpstr>México</vt:lpstr>
      <vt:lpstr>Nicaragua</vt:lpstr>
      <vt:lpstr>Panamá</vt:lpstr>
      <vt:lpstr>Perú</vt:lpstr>
      <vt:lpstr>Uruguay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HCX</dc:creator>
  <cp:keywords/>
  <dc:description/>
  <cp:lastModifiedBy>Rodrigo Favela</cp:lastModifiedBy>
  <cp:revision/>
  <dcterms:created xsi:type="dcterms:W3CDTF">2021-10-20T16:55:43Z</dcterms:created>
  <dcterms:modified xsi:type="dcterms:W3CDTF">2025-09-17T22:35:30Z</dcterms:modified>
  <cp:category/>
  <cp:contentStatus/>
</cp:coreProperties>
</file>